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slicers/slicer2.xml" ContentType="application/vnd.ms-excel.slicer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xr:revisionPtr revIDLastSave="0" documentId="13_ncr:1_{74F05810-8297-4FA8-B953-6FB0B2BCA310}" xr6:coauthVersionLast="47" xr6:coauthVersionMax="47" xr10:uidLastSave="{00000000-0000-0000-0000-000000000000}"/>
  <bookViews>
    <workbookView xWindow="-120" yWindow="-120" windowWidth="29040" windowHeight="15840" tabRatio="884" activeTab="2" xr2:uid="{20ADED74-EB9C-4D69-942B-A428E2F15CB4}"/>
  </bookViews>
  <sheets>
    <sheet name="Puits" sheetId="7" r:id="rId1"/>
    <sheet name="Test_SCADA (C&amp;n)" sheetId="6" r:id="rId2"/>
    <sheet name="Test_Séparateur (C&amp;n)" sheetId="12" r:id="rId3"/>
    <sheet name="FGS" sheetId="10" r:id="rId4"/>
  </sheets>
  <definedNames>
    <definedName name="_xlnm._FilterDatabase" localSheetId="3" hidden="1">FGS!$Q$2:$X$1071</definedName>
    <definedName name="_xlnm._FilterDatabase" localSheetId="0" hidden="1">Puits!$A$1:$F$136</definedName>
    <definedName name="_xlnm._FilterDatabase" localSheetId="1" hidden="1">'Test_SCADA (C&amp;n)'!$A$28:$J$265</definedName>
    <definedName name="_xlnm._FilterDatabase" localSheetId="2" hidden="1">'Test_Séparateur (C&amp;n)'!$A$28:$M$445</definedName>
    <definedName name="Segment_Puits">#N/A</definedName>
    <definedName name="Segment_Puits2">#N/A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5"/>
        <x14:slicerCache r:id="rId6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9" i="10" l="1"/>
  <c r="N29" i="12"/>
  <c r="N30" i="12"/>
  <c r="N31" i="12"/>
  <c r="N32" i="12"/>
  <c r="N33" i="12"/>
  <c r="N34" i="12"/>
  <c r="N35" i="12"/>
  <c r="N36" i="12"/>
  <c r="N37" i="12"/>
  <c r="N38" i="12"/>
  <c r="N39" i="12"/>
  <c r="N40" i="12"/>
  <c r="N41" i="12"/>
  <c r="N42" i="12"/>
  <c r="N43" i="12"/>
  <c r="N44" i="12"/>
  <c r="N45" i="12"/>
  <c r="N46" i="12"/>
  <c r="N47" i="12"/>
  <c r="N48" i="12"/>
  <c r="N49" i="12"/>
  <c r="N50" i="12"/>
  <c r="N51" i="12"/>
  <c r="N52" i="12"/>
  <c r="N53" i="12"/>
  <c r="N54" i="12"/>
  <c r="N55" i="12"/>
  <c r="N56" i="12"/>
  <c r="N57" i="12"/>
  <c r="N58" i="12"/>
  <c r="N59" i="12"/>
  <c r="N60" i="12"/>
  <c r="N61" i="12"/>
  <c r="N62" i="12"/>
  <c r="N63" i="12"/>
  <c r="N64" i="12"/>
  <c r="N65" i="12"/>
  <c r="N66" i="12"/>
  <c r="N67" i="12"/>
  <c r="N68" i="12"/>
  <c r="N69" i="12"/>
  <c r="N70" i="12"/>
  <c r="N71" i="12"/>
  <c r="N72" i="12"/>
  <c r="N73" i="12"/>
  <c r="N74" i="12"/>
  <c r="N75" i="12"/>
  <c r="N76" i="12"/>
  <c r="N77" i="12"/>
  <c r="N78" i="12"/>
  <c r="N79" i="12"/>
  <c r="N80" i="12"/>
  <c r="N81" i="12"/>
  <c r="N82" i="12"/>
  <c r="N83" i="12"/>
  <c r="N84" i="12"/>
  <c r="N85" i="12"/>
  <c r="N86" i="12"/>
  <c r="N87" i="12"/>
  <c r="N88" i="12"/>
  <c r="N89" i="12"/>
  <c r="N90" i="12"/>
  <c r="N91" i="12"/>
  <c r="N92" i="12"/>
  <c r="N93" i="12"/>
  <c r="N94" i="12"/>
  <c r="N95" i="12"/>
  <c r="N96" i="12"/>
  <c r="N97" i="12"/>
  <c r="N98" i="12"/>
  <c r="N99" i="12"/>
  <c r="N100" i="12"/>
  <c r="N101" i="12"/>
  <c r="N102" i="12"/>
  <c r="N103" i="12"/>
  <c r="N104" i="12"/>
  <c r="N105" i="12"/>
  <c r="N106" i="12"/>
  <c r="N107" i="12"/>
  <c r="N108" i="12"/>
  <c r="N109" i="12"/>
  <c r="N110" i="12"/>
  <c r="N111" i="12"/>
  <c r="N112" i="12"/>
  <c r="N113" i="12"/>
  <c r="N114" i="12"/>
  <c r="N115" i="12"/>
  <c r="N116" i="12"/>
  <c r="N117" i="12"/>
  <c r="N118" i="12"/>
  <c r="N119" i="12"/>
  <c r="N120" i="12"/>
  <c r="N121" i="12"/>
  <c r="N122" i="12"/>
  <c r="N123" i="12"/>
  <c r="N124" i="12"/>
  <c r="N125" i="12"/>
  <c r="N126" i="12"/>
  <c r="N127" i="12"/>
  <c r="N128" i="12"/>
  <c r="N129" i="12"/>
  <c r="N130" i="12"/>
  <c r="N131" i="12"/>
  <c r="N132" i="12"/>
  <c r="N133" i="12"/>
  <c r="N134" i="12"/>
  <c r="N135" i="12"/>
  <c r="N136" i="12"/>
  <c r="N137" i="12"/>
  <c r="N138" i="12"/>
  <c r="N139" i="12"/>
  <c r="N140" i="12"/>
  <c r="N141" i="12"/>
  <c r="N142" i="12"/>
  <c r="N143" i="12"/>
  <c r="N144" i="12"/>
  <c r="N145" i="12"/>
  <c r="N146" i="12"/>
  <c r="N147" i="12"/>
  <c r="N148" i="12"/>
  <c r="N149" i="12"/>
  <c r="N150" i="12"/>
  <c r="N151" i="12"/>
  <c r="N152" i="12"/>
  <c r="N153" i="12"/>
  <c r="N154" i="12"/>
  <c r="N155" i="12"/>
  <c r="N156" i="12"/>
  <c r="N157" i="12"/>
  <c r="N158" i="12"/>
  <c r="N159" i="12"/>
  <c r="N160" i="12"/>
  <c r="N161" i="12"/>
  <c r="N162" i="12"/>
  <c r="N163" i="12"/>
  <c r="N164" i="12"/>
  <c r="N165" i="12"/>
  <c r="N166" i="12"/>
  <c r="N167" i="12"/>
  <c r="N168" i="12"/>
  <c r="N169" i="12"/>
  <c r="N170" i="12"/>
  <c r="N171" i="12"/>
  <c r="N172" i="12"/>
  <c r="N173" i="12"/>
  <c r="N174" i="12"/>
  <c r="N175" i="12"/>
  <c r="N176" i="12"/>
  <c r="N177" i="12"/>
  <c r="N178" i="12"/>
  <c r="N179" i="12"/>
  <c r="N180" i="12"/>
  <c r="N181" i="12"/>
  <c r="N182" i="12"/>
  <c r="N183" i="12"/>
  <c r="N184" i="12"/>
  <c r="N185" i="12"/>
  <c r="N186" i="12"/>
  <c r="N187" i="12"/>
  <c r="N188" i="12"/>
  <c r="N189" i="12"/>
  <c r="N190" i="12"/>
  <c r="N191" i="12"/>
  <c r="N192" i="12"/>
  <c r="N193" i="12"/>
  <c r="N194" i="12"/>
  <c r="N195" i="12"/>
  <c r="N196" i="12"/>
  <c r="N197" i="12"/>
  <c r="N198" i="12"/>
  <c r="N199" i="12"/>
  <c r="N200" i="12"/>
  <c r="N201" i="12"/>
  <c r="N202" i="12"/>
  <c r="N203" i="12"/>
  <c r="N204" i="12"/>
  <c r="N205" i="12"/>
  <c r="N206" i="12"/>
  <c r="N207" i="12"/>
  <c r="N208" i="12"/>
  <c r="N209" i="12"/>
  <c r="N210" i="12"/>
  <c r="N211" i="12"/>
  <c r="N212" i="12"/>
  <c r="N213" i="12"/>
  <c r="N214" i="12"/>
  <c r="N215" i="12"/>
  <c r="N216" i="12"/>
  <c r="N217" i="12"/>
  <c r="N218" i="12"/>
  <c r="N219" i="12"/>
  <c r="N220" i="12"/>
  <c r="N221" i="12"/>
  <c r="N222" i="12"/>
  <c r="N223" i="12"/>
  <c r="N224" i="12"/>
  <c r="N225" i="12"/>
  <c r="N226" i="12"/>
  <c r="N227" i="12"/>
  <c r="N228" i="12"/>
  <c r="N229" i="12"/>
  <c r="N230" i="12"/>
  <c r="N231" i="12"/>
  <c r="N232" i="12"/>
  <c r="N233" i="12"/>
  <c r="N234" i="12"/>
  <c r="N235" i="12"/>
  <c r="N236" i="12"/>
  <c r="N237" i="12"/>
  <c r="N238" i="12"/>
  <c r="N239" i="12"/>
  <c r="N240" i="12"/>
  <c r="N241" i="12"/>
  <c r="N242" i="12"/>
  <c r="N243" i="12"/>
  <c r="N244" i="12"/>
  <c r="N245" i="12"/>
  <c r="N246" i="12"/>
  <c r="N247" i="12"/>
  <c r="N248" i="12"/>
  <c r="N249" i="12"/>
  <c r="N250" i="12"/>
  <c r="N251" i="12"/>
  <c r="N252" i="12"/>
  <c r="N253" i="12"/>
  <c r="N254" i="12"/>
  <c r="N255" i="12"/>
  <c r="N256" i="12"/>
  <c r="N257" i="12"/>
  <c r="N258" i="12"/>
  <c r="N259" i="12"/>
  <c r="N260" i="12"/>
  <c r="N261" i="12"/>
  <c r="N262" i="12"/>
  <c r="N263" i="12"/>
  <c r="N264" i="12"/>
  <c r="N265" i="12"/>
  <c r="N266" i="12"/>
  <c r="N267" i="12"/>
  <c r="N268" i="12"/>
  <c r="N269" i="12"/>
  <c r="N270" i="12"/>
  <c r="N271" i="12"/>
  <c r="N272" i="12"/>
  <c r="N273" i="12"/>
  <c r="N274" i="12"/>
  <c r="N275" i="12"/>
  <c r="N276" i="12"/>
  <c r="N277" i="12"/>
  <c r="N278" i="12"/>
  <c r="N279" i="12"/>
  <c r="N280" i="12"/>
  <c r="N281" i="12"/>
  <c r="N282" i="12"/>
  <c r="N283" i="12"/>
  <c r="N284" i="12"/>
  <c r="N285" i="12"/>
  <c r="N286" i="12"/>
  <c r="N287" i="12"/>
  <c r="N288" i="12"/>
  <c r="N289" i="12"/>
  <c r="N290" i="12"/>
  <c r="N291" i="12"/>
  <c r="N292" i="12"/>
  <c r="N293" i="12"/>
  <c r="N294" i="12"/>
  <c r="N295" i="12"/>
  <c r="N296" i="12"/>
  <c r="N297" i="12"/>
  <c r="N298" i="12"/>
  <c r="N299" i="12"/>
  <c r="N300" i="12"/>
  <c r="N301" i="12"/>
  <c r="N302" i="12"/>
  <c r="N303" i="12"/>
  <c r="N304" i="12"/>
  <c r="N305" i="12"/>
  <c r="N306" i="12"/>
  <c r="N307" i="12"/>
  <c r="N308" i="12"/>
  <c r="N309" i="12"/>
  <c r="N310" i="12"/>
  <c r="N311" i="12"/>
  <c r="N312" i="12"/>
  <c r="N313" i="12"/>
  <c r="N314" i="12"/>
  <c r="N315" i="12"/>
  <c r="N316" i="12"/>
  <c r="N317" i="12"/>
  <c r="N318" i="12"/>
  <c r="N319" i="12"/>
  <c r="N320" i="12"/>
  <c r="N321" i="12"/>
  <c r="N322" i="12"/>
  <c r="N323" i="12"/>
  <c r="N324" i="12"/>
  <c r="N325" i="12"/>
  <c r="N326" i="12"/>
  <c r="N327" i="12"/>
  <c r="N328" i="12"/>
  <c r="N329" i="12"/>
  <c r="N330" i="12"/>
  <c r="N331" i="12"/>
  <c r="N332" i="12"/>
  <c r="N333" i="12"/>
  <c r="N334" i="12"/>
  <c r="N335" i="12"/>
  <c r="N336" i="12"/>
  <c r="N337" i="12"/>
  <c r="N338" i="12"/>
  <c r="N339" i="12"/>
  <c r="N340" i="12"/>
  <c r="N341" i="12"/>
  <c r="N342" i="12"/>
  <c r="N343" i="12"/>
  <c r="N344" i="12"/>
  <c r="N345" i="12"/>
  <c r="N346" i="12"/>
  <c r="N347" i="12"/>
  <c r="N348" i="12"/>
  <c r="N349" i="12"/>
  <c r="N350" i="12"/>
  <c r="N351" i="12"/>
  <c r="N352" i="12"/>
  <c r="N353" i="12"/>
  <c r="N354" i="12"/>
  <c r="N355" i="12"/>
  <c r="N356" i="12"/>
  <c r="N357" i="12"/>
  <c r="N358" i="12"/>
  <c r="N359" i="12"/>
  <c r="N360" i="12"/>
  <c r="N361" i="12"/>
  <c r="N362" i="12"/>
  <c r="N363" i="12"/>
  <c r="N364" i="12"/>
  <c r="N365" i="12"/>
  <c r="N366" i="12"/>
  <c r="N367" i="12"/>
  <c r="N368" i="12"/>
  <c r="N369" i="12"/>
  <c r="N370" i="12"/>
  <c r="N371" i="12"/>
  <c r="N372" i="12"/>
  <c r="N373" i="12"/>
  <c r="N374" i="12"/>
  <c r="N375" i="12"/>
  <c r="N376" i="12"/>
  <c r="N377" i="12"/>
  <c r="N378" i="12"/>
  <c r="N379" i="12"/>
  <c r="N380" i="12"/>
  <c r="N381" i="12"/>
  <c r="N382" i="12"/>
  <c r="N383" i="12"/>
  <c r="N384" i="12"/>
  <c r="N385" i="12"/>
  <c r="N386" i="12"/>
  <c r="N387" i="12"/>
  <c r="N388" i="12"/>
  <c r="N389" i="12"/>
  <c r="N390" i="12"/>
  <c r="N391" i="12"/>
  <c r="N392" i="12"/>
  <c r="N393" i="12"/>
  <c r="N394" i="12"/>
  <c r="N395" i="12"/>
  <c r="N396" i="12"/>
  <c r="N397" i="12"/>
  <c r="N398" i="12"/>
  <c r="N399" i="12"/>
  <c r="N400" i="12"/>
  <c r="N401" i="12"/>
  <c r="N402" i="12"/>
  <c r="N403" i="12"/>
  <c r="N404" i="12"/>
  <c r="N405" i="12"/>
  <c r="N406" i="12"/>
  <c r="N407" i="12"/>
  <c r="N408" i="12"/>
  <c r="N409" i="12"/>
  <c r="N410" i="12"/>
  <c r="N411" i="12"/>
  <c r="N412" i="12"/>
  <c r="N413" i="12"/>
  <c r="N414" i="12"/>
  <c r="N415" i="12"/>
  <c r="N416" i="12"/>
  <c r="N417" i="12"/>
  <c r="N418" i="12"/>
  <c r="N419" i="12"/>
  <c r="N420" i="12"/>
  <c r="N421" i="12"/>
  <c r="N422" i="12"/>
  <c r="N423" i="12"/>
  <c r="N424" i="12"/>
  <c r="N425" i="12"/>
  <c r="N426" i="12"/>
  <c r="N427" i="12"/>
  <c r="N428" i="12"/>
  <c r="N429" i="12"/>
  <c r="N430" i="12"/>
  <c r="N431" i="12"/>
  <c r="N432" i="12"/>
  <c r="N433" i="12"/>
  <c r="N434" i="12"/>
  <c r="N435" i="12"/>
  <c r="N436" i="12"/>
  <c r="N437" i="12"/>
  <c r="N438" i="12"/>
  <c r="N439" i="12"/>
  <c r="N440" i="12"/>
  <c r="N441" i="12"/>
  <c r="N442" i="12"/>
  <c r="N443" i="12"/>
  <c r="N444" i="12"/>
  <c r="N445" i="12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O445" i="12"/>
  <c r="P445" i="12"/>
  <c r="O444" i="12"/>
  <c r="P444" i="12"/>
  <c r="O443" i="12"/>
  <c r="P443" i="12"/>
  <c r="O442" i="12"/>
  <c r="P442" i="12"/>
  <c r="O441" i="12"/>
  <c r="P441" i="12"/>
  <c r="O440" i="12"/>
  <c r="P440" i="12"/>
  <c r="O439" i="12"/>
  <c r="P439" i="12"/>
  <c r="O438" i="12"/>
  <c r="P438" i="12"/>
  <c r="O437" i="12"/>
  <c r="P437" i="12"/>
  <c r="O436" i="12"/>
  <c r="P436" i="12"/>
  <c r="O435" i="12"/>
  <c r="P435" i="12"/>
  <c r="O434" i="12"/>
  <c r="P434" i="12"/>
  <c r="O433" i="12"/>
  <c r="P433" i="12"/>
  <c r="O432" i="12"/>
  <c r="P432" i="12"/>
  <c r="O431" i="12"/>
  <c r="P431" i="12"/>
  <c r="O83" i="12" l="1"/>
  <c r="P83" i="12"/>
  <c r="O84" i="12"/>
  <c r="P84" i="12"/>
  <c r="O85" i="12"/>
  <c r="P85" i="12"/>
  <c r="O284" i="12" l="1"/>
  <c r="F100" i="6" l="1"/>
  <c r="F99" i="6"/>
  <c r="O430" i="12" l="1"/>
  <c r="P430" i="12"/>
  <c r="O429" i="12"/>
  <c r="P429" i="12"/>
  <c r="O428" i="12"/>
  <c r="P428" i="12"/>
  <c r="O427" i="12"/>
  <c r="P427" i="12"/>
  <c r="O426" i="12"/>
  <c r="P426" i="12"/>
  <c r="O425" i="12"/>
  <c r="P425" i="12"/>
  <c r="O424" i="12"/>
  <c r="P424" i="12"/>
  <c r="O423" i="12"/>
  <c r="P423" i="12"/>
  <c r="O422" i="12"/>
  <c r="P422" i="12"/>
  <c r="O421" i="12"/>
  <c r="P421" i="12"/>
  <c r="O420" i="12"/>
  <c r="P420" i="12"/>
  <c r="O419" i="12"/>
  <c r="P419" i="12"/>
  <c r="O418" i="12"/>
  <c r="P418" i="12"/>
  <c r="O417" i="12"/>
  <c r="P417" i="12"/>
  <c r="O416" i="12"/>
  <c r="P416" i="12"/>
  <c r="O415" i="12"/>
  <c r="P415" i="12"/>
  <c r="O414" i="12"/>
  <c r="P414" i="12"/>
  <c r="O413" i="12"/>
  <c r="P413" i="12"/>
  <c r="O412" i="12"/>
  <c r="P412" i="12"/>
  <c r="O411" i="12"/>
  <c r="P411" i="12"/>
  <c r="O410" i="12"/>
  <c r="P410" i="12"/>
  <c r="O409" i="12"/>
  <c r="P409" i="12"/>
  <c r="O408" i="12"/>
  <c r="P408" i="12"/>
  <c r="O407" i="12"/>
  <c r="P407" i="12"/>
  <c r="O406" i="12"/>
  <c r="P406" i="12"/>
  <c r="O405" i="12"/>
  <c r="P405" i="12"/>
  <c r="O404" i="12"/>
  <c r="P404" i="12"/>
  <c r="O403" i="12"/>
  <c r="P403" i="12"/>
  <c r="O402" i="12"/>
  <c r="P402" i="12"/>
  <c r="O401" i="12"/>
  <c r="P401" i="12"/>
  <c r="O400" i="12"/>
  <c r="P400" i="12"/>
  <c r="O399" i="12"/>
  <c r="P399" i="12"/>
  <c r="O398" i="12"/>
  <c r="P398" i="12"/>
  <c r="O397" i="12"/>
  <c r="P397" i="12"/>
  <c r="O396" i="12"/>
  <c r="P396" i="12"/>
  <c r="O395" i="12"/>
  <c r="P395" i="12"/>
  <c r="O394" i="12"/>
  <c r="P394" i="12"/>
  <c r="O393" i="12"/>
  <c r="P393" i="12"/>
  <c r="O392" i="12"/>
  <c r="P392" i="12"/>
  <c r="O391" i="12"/>
  <c r="P391" i="12"/>
  <c r="O390" i="12"/>
  <c r="P390" i="12"/>
  <c r="O389" i="12"/>
  <c r="P389" i="12"/>
  <c r="O388" i="12"/>
  <c r="P388" i="12"/>
  <c r="O387" i="12"/>
  <c r="P387" i="12"/>
  <c r="O386" i="12"/>
  <c r="P386" i="12"/>
  <c r="O385" i="12"/>
  <c r="P385" i="12"/>
  <c r="O384" i="12"/>
  <c r="P384" i="12"/>
  <c r="O383" i="12"/>
  <c r="P383" i="12"/>
  <c r="O382" i="12"/>
  <c r="P382" i="12"/>
  <c r="O381" i="12"/>
  <c r="P381" i="12"/>
  <c r="O380" i="12"/>
  <c r="P380" i="12"/>
  <c r="O379" i="12"/>
  <c r="P379" i="12"/>
  <c r="O378" i="12"/>
  <c r="P378" i="12"/>
  <c r="O377" i="12"/>
  <c r="P377" i="12"/>
  <c r="O376" i="12"/>
  <c r="P376" i="12"/>
  <c r="O375" i="12"/>
  <c r="P375" i="12"/>
  <c r="O374" i="12"/>
  <c r="P374" i="12"/>
  <c r="O373" i="12"/>
  <c r="P373" i="12"/>
  <c r="O372" i="12"/>
  <c r="P372" i="12"/>
  <c r="O371" i="12"/>
  <c r="P371" i="12"/>
  <c r="O370" i="12"/>
  <c r="P370" i="12"/>
  <c r="O369" i="12"/>
  <c r="P369" i="12"/>
  <c r="O368" i="12"/>
  <c r="P368" i="12"/>
  <c r="O367" i="12"/>
  <c r="P367" i="12"/>
  <c r="O366" i="12"/>
  <c r="P366" i="12"/>
  <c r="O365" i="12"/>
  <c r="P365" i="12"/>
  <c r="O364" i="12"/>
  <c r="P364" i="12"/>
  <c r="O363" i="12"/>
  <c r="P363" i="12"/>
  <c r="O362" i="12"/>
  <c r="P362" i="12"/>
  <c r="O361" i="12"/>
  <c r="P361" i="12"/>
  <c r="O360" i="12"/>
  <c r="P360" i="12"/>
  <c r="O359" i="12"/>
  <c r="P359" i="12"/>
  <c r="O358" i="12"/>
  <c r="P358" i="12"/>
  <c r="O357" i="12"/>
  <c r="P357" i="12"/>
  <c r="O356" i="12"/>
  <c r="P356" i="12"/>
  <c r="O355" i="12"/>
  <c r="P355" i="12"/>
  <c r="O354" i="12"/>
  <c r="P354" i="12"/>
  <c r="O353" i="12"/>
  <c r="P353" i="12"/>
  <c r="O352" i="12"/>
  <c r="P352" i="12"/>
  <c r="O351" i="12"/>
  <c r="P351" i="12"/>
  <c r="O350" i="12"/>
  <c r="P350" i="12"/>
  <c r="O349" i="12" l="1"/>
  <c r="P349" i="12"/>
  <c r="O348" i="12"/>
  <c r="P348" i="12"/>
  <c r="O347" i="12"/>
  <c r="P347" i="12"/>
  <c r="O346" i="12"/>
  <c r="P346" i="12"/>
  <c r="O345" i="12"/>
  <c r="P345" i="12"/>
  <c r="O344" i="12"/>
  <c r="P344" i="12"/>
  <c r="O343" i="12"/>
  <c r="P343" i="12"/>
  <c r="O342" i="12"/>
  <c r="P342" i="12"/>
  <c r="O341" i="12"/>
  <c r="P341" i="12"/>
  <c r="O340" i="12"/>
  <c r="P340" i="12"/>
  <c r="O339" i="12"/>
  <c r="P339" i="12"/>
  <c r="O338" i="12"/>
  <c r="P338" i="12"/>
  <c r="O337" i="12" l="1"/>
  <c r="P337" i="12"/>
  <c r="O336" i="12"/>
  <c r="P336" i="12"/>
  <c r="O335" i="12"/>
  <c r="P335" i="12"/>
  <c r="O334" i="12"/>
  <c r="P334" i="12"/>
  <c r="O333" i="12"/>
  <c r="P333" i="12"/>
  <c r="O332" i="12"/>
  <c r="P332" i="12"/>
  <c r="O331" i="12"/>
  <c r="P331" i="12"/>
  <c r="O330" i="12"/>
  <c r="P330" i="12"/>
  <c r="O329" i="12"/>
  <c r="P329" i="12"/>
  <c r="O328" i="12"/>
  <c r="P328" i="12"/>
  <c r="O327" i="12"/>
  <c r="P327" i="12"/>
  <c r="O326" i="12"/>
  <c r="P326" i="12"/>
  <c r="O325" i="12"/>
  <c r="P325" i="12"/>
  <c r="O324" i="12"/>
  <c r="P324" i="12"/>
  <c r="O323" i="12"/>
  <c r="P323" i="12"/>
  <c r="O322" i="12"/>
  <c r="P322" i="12"/>
  <c r="O321" i="12"/>
  <c r="P321" i="12"/>
  <c r="O320" i="12"/>
  <c r="P320" i="12"/>
  <c r="O319" i="12"/>
  <c r="P319" i="12"/>
  <c r="O318" i="12"/>
  <c r="P318" i="12"/>
  <c r="O317" i="12"/>
  <c r="P317" i="12"/>
  <c r="O316" i="12"/>
  <c r="P316" i="12"/>
  <c r="O315" i="12"/>
  <c r="P315" i="12"/>
  <c r="O314" i="12"/>
  <c r="P314" i="12"/>
  <c r="O313" i="12"/>
  <c r="P313" i="12"/>
  <c r="O312" i="12"/>
  <c r="P312" i="12"/>
  <c r="O311" i="12"/>
  <c r="P311" i="12"/>
  <c r="O310" i="12"/>
  <c r="P310" i="12"/>
  <c r="O309" i="12"/>
  <c r="P309" i="12"/>
  <c r="O308" i="12"/>
  <c r="P308" i="12"/>
  <c r="O307" i="12"/>
  <c r="P307" i="12"/>
  <c r="O306" i="12"/>
  <c r="P306" i="12"/>
  <c r="O305" i="12"/>
  <c r="P305" i="12"/>
  <c r="O304" i="12"/>
  <c r="P304" i="12"/>
  <c r="O303" i="12"/>
  <c r="P303" i="12"/>
  <c r="O302" i="12"/>
  <c r="P302" i="12"/>
  <c r="O301" i="12"/>
  <c r="P301" i="12"/>
  <c r="O300" i="12"/>
  <c r="P300" i="12"/>
  <c r="O299" i="12"/>
  <c r="P299" i="12"/>
  <c r="O298" i="12"/>
  <c r="P298" i="12"/>
  <c r="O297" i="12"/>
  <c r="P297" i="12"/>
  <c r="O296" i="12"/>
  <c r="P296" i="12"/>
  <c r="O295" i="12"/>
  <c r="P295" i="12"/>
  <c r="O294" i="12"/>
  <c r="P294" i="12"/>
  <c r="O293" i="12"/>
  <c r="P293" i="12"/>
  <c r="O292" i="12"/>
  <c r="P292" i="12"/>
  <c r="O291" i="12"/>
  <c r="P291" i="12"/>
  <c r="O290" i="12"/>
  <c r="P290" i="12"/>
  <c r="O289" i="12"/>
  <c r="P289" i="12"/>
  <c r="O288" i="12"/>
  <c r="P288" i="12"/>
  <c r="O287" i="12"/>
  <c r="P287" i="12"/>
  <c r="O286" i="12"/>
  <c r="P286" i="12"/>
  <c r="O285" i="12"/>
  <c r="P285" i="12"/>
  <c r="P284" i="12"/>
  <c r="O283" i="12"/>
  <c r="P283" i="12"/>
  <c r="O282" i="12"/>
  <c r="P282" i="12"/>
  <c r="O281" i="12"/>
  <c r="P281" i="12"/>
  <c r="O280" i="12"/>
  <c r="P280" i="12"/>
  <c r="O279" i="12"/>
  <c r="P279" i="12"/>
  <c r="O278" i="12"/>
  <c r="P278" i="12"/>
  <c r="O277" i="12"/>
  <c r="P277" i="12"/>
  <c r="O276" i="12"/>
  <c r="P276" i="12"/>
  <c r="O275" i="12"/>
  <c r="P275" i="12"/>
  <c r="O274" i="12"/>
  <c r="P274" i="12"/>
  <c r="O273" i="12"/>
  <c r="P273" i="12"/>
  <c r="O272" i="12"/>
  <c r="P272" i="12"/>
  <c r="O271" i="12"/>
  <c r="P271" i="12"/>
  <c r="O270" i="12"/>
  <c r="P270" i="12"/>
  <c r="O269" i="12"/>
  <c r="P269" i="12"/>
  <c r="O268" i="12"/>
  <c r="P268" i="12"/>
  <c r="O267" i="12"/>
  <c r="P267" i="12"/>
  <c r="O266" i="12"/>
  <c r="P266" i="12"/>
  <c r="P29" i="12" l="1"/>
  <c r="P30" i="12"/>
  <c r="P31" i="12"/>
  <c r="P32" i="12"/>
  <c r="P33" i="12"/>
  <c r="P34" i="12"/>
  <c r="P35" i="12"/>
  <c r="P36" i="12"/>
  <c r="P37" i="12"/>
  <c r="P38" i="12"/>
  <c r="P39" i="12"/>
  <c r="P40" i="12"/>
  <c r="P41" i="12"/>
  <c r="P42" i="12"/>
  <c r="P43" i="12"/>
  <c r="P44" i="12"/>
  <c r="P45" i="12"/>
  <c r="P46" i="12"/>
  <c r="P47" i="12"/>
  <c r="P48" i="12"/>
  <c r="P49" i="12"/>
  <c r="P50" i="12"/>
  <c r="P51" i="12"/>
  <c r="P52" i="12"/>
  <c r="P53" i="12"/>
  <c r="P54" i="12"/>
  <c r="P55" i="12"/>
  <c r="P56" i="12"/>
  <c r="P57" i="12"/>
  <c r="P58" i="12"/>
  <c r="P59" i="12"/>
  <c r="P60" i="12"/>
  <c r="P61" i="12"/>
  <c r="P62" i="12"/>
  <c r="P63" i="12"/>
  <c r="P64" i="12"/>
  <c r="P65" i="12"/>
  <c r="P66" i="12"/>
  <c r="P67" i="12"/>
  <c r="P68" i="12"/>
  <c r="P69" i="12"/>
  <c r="P70" i="12"/>
  <c r="P71" i="12"/>
  <c r="P72" i="12"/>
  <c r="P73" i="12"/>
  <c r="P74" i="12"/>
  <c r="P75" i="12"/>
  <c r="P76" i="12"/>
  <c r="P77" i="12"/>
  <c r="P78" i="12"/>
  <c r="P79" i="12"/>
  <c r="P80" i="12"/>
  <c r="P81" i="12"/>
  <c r="P82" i="12"/>
  <c r="P86" i="12"/>
  <c r="P87" i="12"/>
  <c r="P88" i="12"/>
  <c r="P89" i="12"/>
  <c r="P90" i="12"/>
  <c r="P91" i="12"/>
  <c r="P92" i="12"/>
  <c r="P93" i="12"/>
  <c r="P94" i="12"/>
  <c r="P95" i="12"/>
  <c r="P96" i="12"/>
  <c r="P97" i="12"/>
  <c r="P98" i="12"/>
  <c r="P99" i="12"/>
  <c r="P100" i="12"/>
  <c r="P101" i="12"/>
  <c r="P102" i="12"/>
  <c r="P103" i="12"/>
  <c r="P104" i="12"/>
  <c r="P105" i="12"/>
  <c r="P106" i="12"/>
  <c r="P107" i="12"/>
  <c r="P108" i="12"/>
  <c r="P109" i="12"/>
  <c r="P110" i="12"/>
  <c r="P111" i="12"/>
  <c r="P112" i="12"/>
  <c r="P113" i="12"/>
  <c r="P114" i="12"/>
  <c r="P115" i="12"/>
  <c r="P116" i="12"/>
  <c r="P117" i="12"/>
  <c r="P118" i="12"/>
  <c r="P119" i="12"/>
  <c r="P120" i="12"/>
  <c r="P121" i="12"/>
  <c r="P122" i="12"/>
  <c r="P123" i="12"/>
  <c r="P124" i="12"/>
  <c r="P125" i="12"/>
  <c r="P126" i="12"/>
  <c r="P127" i="12"/>
  <c r="P128" i="12"/>
  <c r="P129" i="12"/>
  <c r="P130" i="12"/>
  <c r="P131" i="12"/>
  <c r="P132" i="12"/>
  <c r="P133" i="12"/>
  <c r="P134" i="12"/>
  <c r="P135" i="12"/>
  <c r="P136" i="12"/>
  <c r="P137" i="12"/>
  <c r="P138" i="12"/>
  <c r="P139" i="12"/>
  <c r="P140" i="12"/>
  <c r="P141" i="12"/>
  <c r="P142" i="12"/>
  <c r="P143" i="12"/>
  <c r="P144" i="12"/>
  <c r="P145" i="12"/>
  <c r="P146" i="12"/>
  <c r="P147" i="12"/>
  <c r="P148" i="12"/>
  <c r="P149" i="12"/>
  <c r="P150" i="12"/>
  <c r="P151" i="12"/>
  <c r="P152" i="12"/>
  <c r="P153" i="12"/>
  <c r="P154" i="12"/>
  <c r="P155" i="12"/>
  <c r="P156" i="12"/>
  <c r="P157" i="12"/>
  <c r="P158" i="12"/>
  <c r="P159" i="12"/>
  <c r="P160" i="12"/>
  <c r="P161" i="12"/>
  <c r="P162" i="12"/>
  <c r="P163" i="12"/>
  <c r="P164" i="12"/>
  <c r="P165" i="12"/>
  <c r="P166" i="12"/>
  <c r="P167" i="12"/>
  <c r="P168" i="12"/>
  <c r="P169" i="12"/>
  <c r="P170" i="12"/>
  <c r="P171" i="12"/>
  <c r="P172" i="12"/>
  <c r="P173" i="12"/>
  <c r="P174" i="12"/>
  <c r="P175" i="12"/>
  <c r="P176" i="12"/>
  <c r="P177" i="12"/>
  <c r="P178" i="12"/>
  <c r="P179" i="12"/>
  <c r="P180" i="12"/>
  <c r="P181" i="12"/>
  <c r="P182" i="12"/>
  <c r="P183" i="12"/>
  <c r="P184" i="12"/>
  <c r="P185" i="12"/>
  <c r="P186" i="12"/>
  <c r="P187" i="12"/>
  <c r="P188" i="12"/>
  <c r="P189" i="12"/>
  <c r="P190" i="12"/>
  <c r="P191" i="12"/>
  <c r="P192" i="12"/>
  <c r="P193" i="12"/>
  <c r="P194" i="12"/>
  <c r="P195" i="12"/>
  <c r="P196" i="12"/>
  <c r="P197" i="12"/>
  <c r="P198" i="12"/>
  <c r="P199" i="12"/>
  <c r="P200" i="12"/>
  <c r="P201" i="12"/>
  <c r="P202" i="12"/>
  <c r="P203" i="12"/>
  <c r="P204" i="12"/>
  <c r="P205" i="12"/>
  <c r="P206" i="12"/>
  <c r="P207" i="12"/>
  <c r="P208" i="12"/>
  <c r="P209" i="12"/>
  <c r="P210" i="12"/>
  <c r="P211" i="12"/>
  <c r="P212" i="12"/>
  <c r="P213" i="12"/>
  <c r="P214" i="12"/>
  <c r="P215" i="12"/>
  <c r="P216" i="12"/>
  <c r="P217" i="12"/>
  <c r="P218" i="12"/>
  <c r="P219" i="12"/>
  <c r="P220" i="12"/>
  <c r="P221" i="12"/>
  <c r="P222" i="12"/>
  <c r="P223" i="12"/>
  <c r="P224" i="12"/>
  <c r="P225" i="12"/>
  <c r="P226" i="12"/>
  <c r="P227" i="12"/>
  <c r="P228" i="12"/>
  <c r="P229" i="12"/>
  <c r="P230" i="12"/>
  <c r="P231" i="12"/>
  <c r="P232" i="12"/>
  <c r="P233" i="12"/>
  <c r="P234" i="12"/>
  <c r="P235" i="12"/>
  <c r="P236" i="12"/>
  <c r="P237" i="12"/>
  <c r="P238" i="12"/>
  <c r="P239" i="12"/>
  <c r="P240" i="12"/>
  <c r="P241" i="12"/>
  <c r="P242" i="12"/>
  <c r="P243" i="12"/>
  <c r="P244" i="12"/>
  <c r="P245" i="12"/>
  <c r="P246" i="12"/>
  <c r="P247" i="12"/>
  <c r="P248" i="12"/>
  <c r="P249" i="12"/>
  <c r="P250" i="12"/>
  <c r="P251" i="12"/>
  <c r="P252" i="12"/>
  <c r="P253" i="12"/>
  <c r="P254" i="12"/>
  <c r="P255" i="12"/>
  <c r="P256" i="12"/>
  <c r="P257" i="12"/>
  <c r="P258" i="12"/>
  <c r="P259" i="12"/>
  <c r="P260" i="12"/>
  <c r="P261" i="12"/>
  <c r="P262" i="12"/>
  <c r="P263" i="12"/>
  <c r="P264" i="12"/>
  <c r="P265" i="12"/>
  <c r="O29" i="12"/>
  <c r="O30" i="12"/>
  <c r="O31" i="12"/>
  <c r="O32" i="12"/>
  <c r="O33" i="12"/>
  <c r="O34" i="12"/>
  <c r="O35" i="12"/>
  <c r="O36" i="12"/>
  <c r="O37" i="12"/>
  <c r="O38" i="12"/>
  <c r="O39" i="12"/>
  <c r="O40" i="12"/>
  <c r="O41" i="12"/>
  <c r="O42" i="12"/>
  <c r="O43" i="12"/>
  <c r="O44" i="12"/>
  <c r="O45" i="12"/>
  <c r="O46" i="12"/>
  <c r="O47" i="12"/>
  <c r="O48" i="12"/>
  <c r="O49" i="12"/>
  <c r="O50" i="12"/>
  <c r="O51" i="12"/>
  <c r="O52" i="12"/>
  <c r="O53" i="12"/>
  <c r="O54" i="12"/>
  <c r="O55" i="12"/>
  <c r="O56" i="12"/>
  <c r="O57" i="12"/>
  <c r="O58" i="12"/>
  <c r="O59" i="12"/>
  <c r="O60" i="12"/>
  <c r="O61" i="12"/>
  <c r="O62" i="12"/>
  <c r="O63" i="12"/>
  <c r="O64" i="12"/>
  <c r="O65" i="12"/>
  <c r="O66" i="12"/>
  <c r="O67" i="12"/>
  <c r="O68" i="12"/>
  <c r="O69" i="12"/>
  <c r="O70" i="12"/>
  <c r="O71" i="12"/>
  <c r="O72" i="12"/>
  <c r="O73" i="12"/>
  <c r="O74" i="12"/>
  <c r="O75" i="12"/>
  <c r="O76" i="12"/>
  <c r="O77" i="12"/>
  <c r="O78" i="12"/>
  <c r="O79" i="12"/>
  <c r="O80" i="12"/>
  <c r="O81" i="12"/>
  <c r="O82" i="12"/>
  <c r="O86" i="12"/>
  <c r="O87" i="12"/>
  <c r="O88" i="12"/>
  <c r="O89" i="12"/>
  <c r="O90" i="12"/>
  <c r="O91" i="12"/>
  <c r="O92" i="12"/>
  <c r="O93" i="12"/>
  <c r="O94" i="12"/>
  <c r="O95" i="12"/>
  <c r="O96" i="12"/>
  <c r="O97" i="12"/>
  <c r="O98" i="12"/>
  <c r="O99" i="12"/>
  <c r="O100" i="12"/>
  <c r="O101" i="12"/>
  <c r="O102" i="12"/>
  <c r="O103" i="12"/>
  <c r="O104" i="12"/>
  <c r="O105" i="12"/>
  <c r="O106" i="12"/>
  <c r="O107" i="12"/>
  <c r="O108" i="12"/>
  <c r="O109" i="12"/>
  <c r="O110" i="12"/>
  <c r="O111" i="12"/>
  <c r="O112" i="12"/>
  <c r="O113" i="12"/>
  <c r="O114" i="12"/>
  <c r="O115" i="12"/>
  <c r="O116" i="12"/>
  <c r="O117" i="12"/>
  <c r="O118" i="12"/>
  <c r="O119" i="12"/>
  <c r="O120" i="12"/>
  <c r="O121" i="12"/>
  <c r="O122" i="12"/>
  <c r="O123" i="12"/>
  <c r="O124" i="12"/>
  <c r="O125" i="12"/>
  <c r="O126" i="12"/>
  <c r="O127" i="12"/>
  <c r="O128" i="12"/>
  <c r="O129" i="12"/>
  <c r="O130" i="12"/>
  <c r="O131" i="12"/>
  <c r="O132" i="12"/>
  <c r="O133" i="12"/>
  <c r="O134" i="12"/>
  <c r="O135" i="12"/>
  <c r="O136" i="12"/>
  <c r="O137" i="12"/>
  <c r="O138" i="12"/>
  <c r="O139" i="12"/>
  <c r="O140" i="12"/>
  <c r="O141" i="12"/>
  <c r="O142" i="12"/>
  <c r="O143" i="12"/>
  <c r="O144" i="12"/>
  <c r="O145" i="12"/>
  <c r="O146" i="12"/>
  <c r="O147" i="12"/>
  <c r="O148" i="12"/>
  <c r="O149" i="12"/>
  <c r="O150" i="12"/>
  <c r="O151" i="12"/>
  <c r="O152" i="12"/>
  <c r="O153" i="12"/>
  <c r="O154" i="12"/>
  <c r="O155" i="12"/>
  <c r="O156" i="12"/>
  <c r="O157" i="12"/>
  <c r="O158" i="12"/>
  <c r="O159" i="12"/>
  <c r="O160" i="12"/>
  <c r="O161" i="12"/>
  <c r="O162" i="12"/>
  <c r="O163" i="12"/>
  <c r="O164" i="12"/>
  <c r="O165" i="12"/>
  <c r="O166" i="12"/>
  <c r="O167" i="12"/>
  <c r="O168" i="12"/>
  <c r="O169" i="12"/>
  <c r="O170" i="12"/>
  <c r="O171" i="12"/>
  <c r="O172" i="12"/>
  <c r="O173" i="12"/>
  <c r="O174" i="12"/>
  <c r="O175" i="12"/>
  <c r="O176" i="12"/>
  <c r="O177" i="12"/>
  <c r="O178" i="12"/>
  <c r="O179" i="12"/>
  <c r="O180" i="12"/>
  <c r="O181" i="12"/>
  <c r="O182" i="12"/>
  <c r="O183" i="12"/>
  <c r="O184" i="12"/>
  <c r="O185" i="12"/>
  <c r="O186" i="12"/>
  <c r="O187" i="12"/>
  <c r="O188" i="12"/>
  <c r="O189" i="12"/>
  <c r="O190" i="12"/>
  <c r="O191" i="12"/>
  <c r="O192" i="12"/>
  <c r="O193" i="12"/>
  <c r="O194" i="12"/>
  <c r="O195" i="12"/>
  <c r="O196" i="12"/>
  <c r="O197" i="12"/>
  <c r="O198" i="12"/>
  <c r="O199" i="12"/>
  <c r="O200" i="12"/>
  <c r="O201" i="12"/>
  <c r="O202" i="12"/>
  <c r="O203" i="12"/>
  <c r="O204" i="12"/>
  <c r="O205" i="12"/>
  <c r="O206" i="12"/>
  <c r="O207" i="12"/>
  <c r="O208" i="12"/>
  <c r="O209" i="12"/>
  <c r="O210" i="12"/>
  <c r="O211" i="12"/>
  <c r="O212" i="12"/>
  <c r="O213" i="12"/>
  <c r="O214" i="12"/>
  <c r="O215" i="12"/>
  <c r="O216" i="12"/>
  <c r="O217" i="12"/>
  <c r="O218" i="12"/>
  <c r="O219" i="12"/>
  <c r="O220" i="12"/>
  <c r="O221" i="12"/>
  <c r="O222" i="12"/>
  <c r="O223" i="12"/>
  <c r="O224" i="12"/>
  <c r="O225" i="12"/>
  <c r="O226" i="12"/>
  <c r="O227" i="12"/>
  <c r="O228" i="12"/>
  <c r="O229" i="12"/>
  <c r="O230" i="12"/>
  <c r="O231" i="12"/>
  <c r="O232" i="12"/>
  <c r="O233" i="12"/>
  <c r="O234" i="12"/>
  <c r="O235" i="12"/>
  <c r="O236" i="12"/>
  <c r="O237" i="12"/>
  <c r="O238" i="12"/>
  <c r="O239" i="12"/>
  <c r="O240" i="12"/>
  <c r="O241" i="12"/>
  <c r="O242" i="12"/>
  <c r="O243" i="12"/>
  <c r="O244" i="12"/>
  <c r="O245" i="12"/>
  <c r="O246" i="12"/>
  <c r="O247" i="12"/>
  <c r="O248" i="12"/>
  <c r="O249" i="12"/>
  <c r="O250" i="12"/>
  <c r="O251" i="12"/>
  <c r="O252" i="12"/>
  <c r="O253" i="12"/>
  <c r="O254" i="12"/>
  <c r="O255" i="12"/>
  <c r="O256" i="12"/>
  <c r="O257" i="12"/>
  <c r="O258" i="12"/>
  <c r="O259" i="12"/>
  <c r="O260" i="12"/>
  <c r="O261" i="12"/>
  <c r="O262" i="12"/>
  <c r="O263" i="12"/>
  <c r="O264" i="12"/>
  <c r="O265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HABIBI RACHIDA</author>
  </authors>
  <commentList>
    <comment ref="J41" authorId="0" shapeId="0" xr:uid="{8E43648B-6292-4151-A4F4-6E260C81A78B}">
      <text>
        <r>
          <rPr>
            <b/>
            <sz val="9"/>
            <color indexed="81"/>
            <rFont val="Tahoma"/>
            <family val="2"/>
          </rPr>
          <t>HABIBI RACHIDA:</t>
        </r>
        <r>
          <rPr>
            <sz val="9"/>
            <color indexed="81"/>
            <rFont val="Tahoma"/>
            <family val="2"/>
          </rPr>
          <t xml:space="preserve">
S/C coincée</t>
        </r>
      </text>
    </comment>
    <comment ref="J47" authorId="0" shapeId="0" xr:uid="{77FF9151-110A-4F40-B4BC-655FA4CC03FF}">
      <text>
        <r>
          <rPr>
            <b/>
            <sz val="9"/>
            <color indexed="81"/>
            <rFont val="Tahoma"/>
            <family val="2"/>
          </rPr>
          <t>HABIBI RACHIDA:</t>
        </r>
        <r>
          <rPr>
            <sz val="9"/>
            <color indexed="81"/>
            <rFont val="Tahoma"/>
            <family val="2"/>
          </rPr>
          <t xml:space="preserve">
S/C coincée</t>
        </r>
      </text>
    </comment>
    <comment ref="J170" authorId="0" shapeId="0" xr:uid="{C9B690BB-E241-46A2-9AEA-8D70B8CE9E2F}">
      <text>
        <r>
          <rPr>
            <b/>
            <sz val="9"/>
            <color indexed="81"/>
            <rFont val="Tahoma"/>
            <family val="2"/>
          </rPr>
          <t>HABIBI RACHIDA:</t>
        </r>
        <r>
          <rPr>
            <sz val="9"/>
            <color indexed="81"/>
            <rFont val="Tahoma"/>
            <family val="2"/>
          </rPr>
          <t xml:space="preserve">
S/C coincée</t>
        </r>
      </text>
    </comment>
    <comment ref="H217" authorId="0" shapeId="0" xr:uid="{7A0BE4D6-00CD-4E1E-80B4-5E7BA287ECCA}">
      <text>
        <r>
          <rPr>
            <b/>
            <sz val="9"/>
            <color indexed="81"/>
            <rFont val="Tahoma"/>
            <family val="2"/>
          </rPr>
          <t>HABIBI RACHIDA:</t>
        </r>
        <r>
          <rPr>
            <sz val="9"/>
            <color indexed="81"/>
            <rFont val="Tahoma"/>
            <family val="2"/>
          </rPr>
          <t xml:space="preserve">
La valeur mesurée est 57.7 mais il ne converge pas</t>
        </r>
      </text>
    </comment>
    <comment ref="J257" authorId="0" shapeId="0" xr:uid="{5B0F8058-0C27-4320-A407-D8CE57639EA2}">
      <text>
        <r>
          <rPr>
            <b/>
            <sz val="9"/>
            <color indexed="81"/>
            <rFont val="Tahoma"/>
            <family val="2"/>
          </rPr>
          <t>HABIBI RACHIDA:</t>
        </r>
        <r>
          <rPr>
            <sz val="9"/>
            <color indexed="81"/>
            <rFont val="Tahoma"/>
            <family val="2"/>
          </rPr>
          <t xml:space="preserve">
S/C coincée</t>
        </r>
      </text>
    </comment>
    <comment ref="J260" authorId="0" shapeId="0" xr:uid="{2D01FA60-2C16-458E-859B-493CCBD0F62C}">
      <text>
        <r>
          <rPr>
            <b/>
            <sz val="9"/>
            <color indexed="81"/>
            <rFont val="Tahoma"/>
            <family val="2"/>
          </rPr>
          <t>HABIBI RACHIDA:</t>
        </r>
        <r>
          <rPr>
            <sz val="9"/>
            <color indexed="81"/>
            <rFont val="Tahoma"/>
            <family val="2"/>
          </rPr>
          <t xml:space="preserve">
S/C coincée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HABIBI RACHIDA</author>
  </authors>
  <commentList>
    <comment ref="M95" authorId="0" shapeId="0" xr:uid="{D3D892BA-91E6-4FDE-8DB6-BA6ECF1CD65A}">
      <text>
        <r>
          <rPr>
            <b/>
            <sz val="9"/>
            <color indexed="81"/>
            <rFont val="Tahoma"/>
            <family val="2"/>
          </rPr>
          <t>HABIBI RACHIDA:</t>
        </r>
        <r>
          <rPr>
            <sz val="9"/>
            <color indexed="81"/>
            <rFont val="Tahoma"/>
            <family val="2"/>
          </rPr>
          <t xml:space="preserve">
S/C coincée</t>
        </r>
      </text>
    </comment>
    <comment ref="M101" authorId="0" shapeId="0" xr:uid="{9F618A25-C5B8-408C-9F8F-386BB5881978}">
      <text>
        <r>
          <rPr>
            <b/>
            <sz val="9"/>
            <color indexed="81"/>
            <rFont val="Tahoma"/>
            <family val="2"/>
          </rPr>
          <t>HABIBI RACHIDA:</t>
        </r>
        <r>
          <rPr>
            <sz val="9"/>
            <color indexed="81"/>
            <rFont val="Tahoma"/>
            <family val="2"/>
          </rPr>
          <t xml:space="preserve">
S/C coincée</t>
        </r>
      </text>
    </comment>
    <comment ref="K110" authorId="0" shapeId="0" xr:uid="{34298974-D6C1-4AA7-B548-CA791147390A}">
      <text>
        <r>
          <rPr>
            <b/>
            <sz val="9"/>
            <color indexed="81"/>
            <rFont val="Tahoma"/>
            <family val="2"/>
          </rPr>
          <t>HABIBI RACHIDA:</t>
        </r>
        <r>
          <rPr>
            <sz val="9"/>
            <color indexed="81"/>
            <rFont val="Tahoma"/>
            <family val="2"/>
          </rPr>
          <t xml:space="preserve">
gauge déconnecter</t>
        </r>
      </text>
    </comment>
    <comment ref="M110" authorId="0" shapeId="0" xr:uid="{067E96DC-4A8A-4922-9793-789EB16626E3}">
      <text>
        <r>
          <rPr>
            <b/>
            <sz val="9"/>
            <color indexed="81"/>
            <rFont val="Tahoma"/>
            <family val="2"/>
          </rPr>
          <t>HABIBI RACHIDA:</t>
        </r>
        <r>
          <rPr>
            <sz val="9"/>
            <color indexed="81"/>
            <rFont val="Tahoma"/>
            <family val="2"/>
          </rPr>
          <t xml:space="preserve">
S/C coincée</t>
        </r>
      </text>
    </comment>
    <comment ref="K111" authorId="0" shapeId="0" xr:uid="{43524DDB-5B74-455F-BB3F-D083F5353939}">
      <text>
        <r>
          <rPr>
            <b/>
            <sz val="9"/>
            <color indexed="81"/>
            <rFont val="Tahoma"/>
            <family val="2"/>
          </rPr>
          <t>HABIBI RACHIDA:</t>
        </r>
        <r>
          <rPr>
            <sz val="9"/>
            <color indexed="81"/>
            <rFont val="Tahoma"/>
            <family val="2"/>
          </rPr>
          <t xml:space="preserve">
gauge déconnecter</t>
        </r>
      </text>
    </comment>
    <comment ref="K112" authorId="0" shapeId="0" xr:uid="{09ADD671-B880-4888-B12B-A69F8AE20600}">
      <text>
        <r>
          <rPr>
            <b/>
            <sz val="9"/>
            <color indexed="81"/>
            <rFont val="Tahoma"/>
            <family val="2"/>
          </rPr>
          <t>HABIBI RACHIDA:</t>
        </r>
        <r>
          <rPr>
            <sz val="9"/>
            <color indexed="81"/>
            <rFont val="Tahoma"/>
            <family val="2"/>
          </rPr>
          <t xml:space="preserve">
gauge déconnecter</t>
        </r>
      </text>
    </comment>
    <comment ref="L176" authorId="0" shapeId="0" xr:uid="{89EE3158-FC79-4B54-AA8D-7B11FD0D6750}">
      <text>
        <r>
          <rPr>
            <b/>
            <sz val="9"/>
            <color indexed="81"/>
            <rFont val="Tahoma"/>
            <family val="2"/>
          </rPr>
          <t>HABIBI RACHIDA:</t>
        </r>
        <r>
          <rPr>
            <sz val="9"/>
            <color indexed="81"/>
            <rFont val="Tahoma"/>
            <family val="2"/>
          </rPr>
          <t xml:space="preserve">
Amérada coincée au fond</t>
        </r>
      </text>
    </comment>
    <comment ref="M230" authorId="0" shapeId="0" xr:uid="{83C171F0-4FE2-46C6-8AAE-5B0A81D9426A}">
      <text>
        <r>
          <rPr>
            <b/>
            <sz val="9"/>
            <color indexed="81"/>
            <rFont val="Tahoma"/>
            <family val="2"/>
          </rPr>
          <t>HABIBI RACHIDA:</t>
        </r>
        <r>
          <rPr>
            <sz val="9"/>
            <color indexed="81"/>
            <rFont val="Tahoma"/>
            <family val="2"/>
          </rPr>
          <t xml:space="preserve">
S/C coincée</t>
        </r>
      </text>
    </comment>
    <comment ref="M236" authorId="0" shapeId="0" xr:uid="{04964BFF-A1A7-440C-8D9A-5E0A1ADC82E4}">
      <text>
        <r>
          <rPr>
            <b/>
            <sz val="9"/>
            <color indexed="81"/>
            <rFont val="Tahoma"/>
            <family val="2"/>
          </rPr>
          <t>HABIBI RACHIDA:</t>
        </r>
        <r>
          <rPr>
            <sz val="9"/>
            <color indexed="81"/>
            <rFont val="Tahoma"/>
            <family val="2"/>
          </rPr>
          <t xml:space="preserve">
S/C coincée</t>
        </r>
      </text>
    </comment>
    <comment ref="M242" authorId="0" shapeId="0" xr:uid="{D06303E9-F6F2-4293-8E93-87FC613704CA}">
      <text>
        <r>
          <rPr>
            <b/>
            <sz val="9"/>
            <color indexed="81"/>
            <rFont val="Tahoma"/>
            <family val="2"/>
          </rPr>
          <t>HABIBI RACHIDA:</t>
        </r>
        <r>
          <rPr>
            <sz val="9"/>
            <color indexed="81"/>
            <rFont val="Tahoma"/>
            <family val="2"/>
          </rPr>
          <t xml:space="preserve">
S/C coincée</t>
        </r>
      </text>
    </comment>
    <comment ref="M263" authorId="0" shapeId="0" xr:uid="{E982C7F7-AA4A-464C-8F54-F56D6BA5C239}">
      <text>
        <r>
          <rPr>
            <b/>
            <sz val="9"/>
            <color indexed="81"/>
            <rFont val="Tahoma"/>
            <family val="2"/>
          </rPr>
          <t>HABIBI RACHIDA:</t>
        </r>
        <r>
          <rPr>
            <sz val="9"/>
            <color indexed="81"/>
            <rFont val="Tahoma"/>
            <family val="2"/>
          </rPr>
          <t xml:space="preserve">
S/C coincée</t>
        </r>
      </text>
    </comment>
    <comment ref="M341" authorId="0" shapeId="0" xr:uid="{FDAE81DD-1D91-4D86-B8A1-627908A0EE71}">
      <text>
        <r>
          <rPr>
            <b/>
            <sz val="9"/>
            <color indexed="81"/>
            <rFont val="Tahoma"/>
            <family val="2"/>
          </rPr>
          <t>HABIBI RACHIDA:</t>
        </r>
        <r>
          <rPr>
            <sz val="9"/>
            <color indexed="81"/>
            <rFont val="Tahoma"/>
            <family val="2"/>
          </rPr>
          <t xml:space="preserve">
S/C coincée</t>
        </r>
      </text>
    </comment>
    <comment ref="M356" authorId="0" shapeId="0" xr:uid="{AE2DC6F1-5445-4BBD-9BDD-A95AAD0E7BC0}">
      <text>
        <r>
          <rPr>
            <b/>
            <sz val="9"/>
            <color indexed="81"/>
            <rFont val="Tahoma"/>
            <family val="2"/>
          </rPr>
          <t>HABIBI RACHIDA:</t>
        </r>
        <r>
          <rPr>
            <sz val="9"/>
            <color indexed="81"/>
            <rFont val="Tahoma"/>
            <family val="2"/>
          </rPr>
          <t xml:space="preserve">
S/C coincée</t>
        </r>
      </text>
    </comment>
    <comment ref="M374" authorId="0" shapeId="0" xr:uid="{859936C2-BCA8-4768-B8A5-DA20CF3080E0}">
      <text>
        <r>
          <rPr>
            <b/>
            <sz val="9"/>
            <color indexed="81"/>
            <rFont val="Tahoma"/>
            <family val="2"/>
          </rPr>
          <t>HABIBI RACHIDA:</t>
        </r>
        <r>
          <rPr>
            <sz val="9"/>
            <color indexed="81"/>
            <rFont val="Tahoma"/>
            <family val="2"/>
          </rPr>
          <t xml:space="preserve">
S/C coincée</t>
        </r>
      </text>
    </comment>
    <comment ref="M380" authorId="0" shapeId="0" xr:uid="{EE9069F2-0232-4EDD-9A70-2BC503CA73E7}">
      <text>
        <r>
          <rPr>
            <b/>
            <sz val="9"/>
            <color indexed="81"/>
            <rFont val="Tahoma"/>
            <family val="2"/>
          </rPr>
          <t>HABIBI RACHIDA:</t>
        </r>
        <r>
          <rPr>
            <sz val="9"/>
            <color indexed="81"/>
            <rFont val="Tahoma"/>
            <family val="2"/>
          </rPr>
          <t xml:space="preserve">
S/C coincée</t>
        </r>
      </text>
    </comment>
    <comment ref="M383" authorId="0" shapeId="0" xr:uid="{D658CA60-0843-4BCB-B788-9373B0B05A79}">
      <text>
        <r>
          <rPr>
            <b/>
            <sz val="9"/>
            <color indexed="81"/>
            <rFont val="Tahoma"/>
            <family val="2"/>
          </rPr>
          <t>HABIBI RACHIDA:</t>
        </r>
        <r>
          <rPr>
            <sz val="9"/>
            <color indexed="81"/>
            <rFont val="Tahoma"/>
            <family val="2"/>
          </rPr>
          <t xml:space="preserve">
S/C coincée</t>
        </r>
      </text>
    </comment>
    <comment ref="M386" authorId="0" shapeId="0" xr:uid="{1DB05151-E990-4EF3-A5BA-9BF92E87C7EE}">
      <text>
        <r>
          <rPr>
            <b/>
            <sz val="9"/>
            <color indexed="81"/>
            <rFont val="Tahoma"/>
            <family val="2"/>
          </rPr>
          <t>HABIBI RACHIDA:</t>
        </r>
        <r>
          <rPr>
            <sz val="9"/>
            <color indexed="81"/>
            <rFont val="Tahoma"/>
            <family val="2"/>
          </rPr>
          <t xml:space="preserve">
S/C coincée</t>
        </r>
      </text>
    </comment>
    <comment ref="M389" authorId="0" shapeId="0" xr:uid="{A119B895-AE3C-4752-B5F6-D506AFA1224C}">
      <text>
        <r>
          <rPr>
            <b/>
            <sz val="9"/>
            <color indexed="81"/>
            <rFont val="Tahoma"/>
            <family val="2"/>
          </rPr>
          <t>HABIBI RACHIDA:</t>
        </r>
        <r>
          <rPr>
            <sz val="9"/>
            <color indexed="81"/>
            <rFont val="Tahoma"/>
            <family val="2"/>
          </rPr>
          <t xml:space="preserve">
S/C coincée</t>
        </r>
      </text>
    </comment>
    <comment ref="M419" authorId="0" shapeId="0" xr:uid="{458D13FC-E29B-47F9-8EE3-B8E391E0D25F}">
      <text>
        <r>
          <rPr>
            <b/>
            <sz val="9"/>
            <color indexed="81"/>
            <rFont val="Tahoma"/>
            <family val="2"/>
          </rPr>
          <t>HABIBI RACHIDA:</t>
        </r>
        <r>
          <rPr>
            <sz val="9"/>
            <color indexed="81"/>
            <rFont val="Tahoma"/>
            <family val="2"/>
          </rPr>
          <t xml:space="preserve">
S/C coincée</t>
        </r>
      </text>
    </comment>
  </commentList>
</comments>
</file>

<file path=xl/sharedStrings.xml><?xml version="1.0" encoding="utf-8"?>
<sst xmlns="http://schemas.openxmlformats.org/spreadsheetml/2006/main" count="4922" uniqueCount="378">
  <si>
    <t>Puits</t>
  </si>
  <si>
    <t>Date</t>
  </si>
  <si>
    <t>Côte de mesure</t>
  </si>
  <si>
    <t>Qg (Msm3/j)</t>
  </si>
  <si>
    <t>WHP (bar)</t>
  </si>
  <si>
    <t>BHT (C°)</t>
  </si>
  <si>
    <t>BHP (bar)</t>
  </si>
  <si>
    <t>HR108</t>
  </si>
  <si>
    <t>HR109</t>
  </si>
  <si>
    <t>HR111</t>
  </si>
  <si>
    <t>HR122</t>
  </si>
  <si>
    <t>HR137</t>
  </si>
  <si>
    <t>HR103</t>
  </si>
  <si>
    <t>HR105</t>
  </si>
  <si>
    <t>HR136</t>
  </si>
  <si>
    <t>HR121</t>
  </si>
  <si>
    <t>HR115</t>
  </si>
  <si>
    <t>HR507</t>
  </si>
  <si>
    <t>HR081</t>
  </si>
  <si>
    <t>HR142</t>
  </si>
  <si>
    <t>HR125</t>
  </si>
  <si>
    <t>HR063</t>
  </si>
  <si>
    <t>HR502</t>
  </si>
  <si>
    <t>HR072</t>
  </si>
  <si>
    <t>HR149</t>
  </si>
  <si>
    <t>HR158</t>
  </si>
  <si>
    <t>HR501</t>
  </si>
  <si>
    <t>HRC068</t>
  </si>
  <si>
    <t>HRD004</t>
  </si>
  <si>
    <t>HR508</t>
  </si>
  <si>
    <t>HR518</t>
  </si>
  <si>
    <t>HR157</t>
  </si>
  <si>
    <t>HR519</t>
  </si>
  <si>
    <t>HR110</t>
  </si>
  <si>
    <t>HR504</t>
  </si>
  <si>
    <t>HR141</t>
  </si>
  <si>
    <t>HRD001</t>
  </si>
  <si>
    <t>HRD006</t>
  </si>
  <si>
    <t>HR077</t>
  </si>
  <si>
    <t>HRD027</t>
  </si>
  <si>
    <t>HRC072</t>
  </si>
  <si>
    <t>HRD026</t>
  </si>
  <si>
    <t>HRC056</t>
  </si>
  <si>
    <t>HR088</t>
  </si>
  <si>
    <t>HR067</t>
  </si>
  <si>
    <t>HRC066</t>
  </si>
  <si>
    <t>HR076</t>
  </si>
  <si>
    <t>HRD018</t>
  </si>
  <si>
    <t>HRD013</t>
  </si>
  <si>
    <t>HRD023</t>
  </si>
  <si>
    <t>HRD022</t>
  </si>
  <si>
    <t>HR062</t>
  </si>
  <si>
    <t>HR074</t>
  </si>
  <si>
    <t>HR078</t>
  </si>
  <si>
    <t>HR071</t>
  </si>
  <si>
    <t>HR089</t>
  </si>
  <si>
    <t>HR068</t>
  </si>
  <si>
    <t>HR073</t>
  </si>
  <si>
    <t>HR070</t>
  </si>
  <si>
    <t>HRD030</t>
  </si>
  <si>
    <t>HRD020</t>
  </si>
  <si>
    <t>HR087</t>
  </si>
  <si>
    <t>HRD031</t>
  </si>
  <si>
    <t>HRD025</t>
  </si>
  <si>
    <t>HRD024</t>
  </si>
  <si>
    <t>N°</t>
  </si>
  <si>
    <t>FGS</t>
  </si>
  <si>
    <t>oui</t>
  </si>
  <si>
    <t>non</t>
  </si>
  <si>
    <t>Zone</t>
  </si>
  <si>
    <t>Boosting</t>
  </si>
  <si>
    <t>Module</t>
  </si>
  <si>
    <t>Collecteur</t>
  </si>
  <si>
    <t>Centre</t>
  </si>
  <si>
    <t>SBC</t>
  </si>
  <si>
    <t>MPP0</t>
  </si>
  <si>
    <t>W7</t>
  </si>
  <si>
    <t>HR019</t>
  </si>
  <si>
    <t>HRSud</t>
  </si>
  <si>
    <t>CTGS</t>
  </si>
  <si>
    <t>SS2</t>
  </si>
  <si>
    <t>HRS003</t>
  </si>
  <si>
    <t>MPP4</t>
  </si>
  <si>
    <t>E3</t>
  </si>
  <si>
    <t>HR035</t>
  </si>
  <si>
    <t>E2</t>
  </si>
  <si>
    <t>HR033</t>
  </si>
  <si>
    <t>Sud</t>
  </si>
  <si>
    <t>SBS</t>
  </si>
  <si>
    <t>MPP2</t>
  </si>
  <si>
    <t>S5</t>
  </si>
  <si>
    <t>HR200</t>
  </si>
  <si>
    <t>MPP1</t>
  </si>
  <si>
    <t>W1</t>
  </si>
  <si>
    <t>HR051</t>
  </si>
  <si>
    <t>E5</t>
  </si>
  <si>
    <t>HR010</t>
  </si>
  <si>
    <t>HRC033</t>
  </si>
  <si>
    <t>W4</t>
  </si>
  <si>
    <t>HRC019</t>
  </si>
  <si>
    <t>Nord</t>
  </si>
  <si>
    <t>SBN</t>
  </si>
  <si>
    <t>MPP3</t>
  </si>
  <si>
    <t>N2</t>
  </si>
  <si>
    <t>S3</t>
  </si>
  <si>
    <t>W5</t>
  </si>
  <si>
    <t>HR039</t>
  </si>
  <si>
    <t>HR098</t>
  </si>
  <si>
    <t>E4</t>
  </si>
  <si>
    <t>HR021</t>
  </si>
  <si>
    <t>S2</t>
  </si>
  <si>
    <t>W3</t>
  </si>
  <si>
    <t>HR047</t>
  </si>
  <si>
    <t>HR054</t>
  </si>
  <si>
    <t>HR066</t>
  </si>
  <si>
    <t>HR075</t>
  </si>
  <si>
    <t>W8</t>
  </si>
  <si>
    <t>HRC008</t>
  </si>
  <si>
    <t>N1</t>
  </si>
  <si>
    <t>HR092</t>
  </si>
  <si>
    <t>HR146</t>
  </si>
  <si>
    <t>W6</t>
  </si>
  <si>
    <t>HR216</t>
  </si>
  <si>
    <t>HRS031</t>
  </si>
  <si>
    <t>HR043</t>
  </si>
  <si>
    <t>E7</t>
  </si>
  <si>
    <t>HRC048</t>
  </si>
  <si>
    <t>HRLC005</t>
  </si>
  <si>
    <t>HRC004</t>
  </si>
  <si>
    <t>SS1</t>
  </si>
  <si>
    <t>HRS001</t>
  </si>
  <si>
    <t>HR095</t>
  </si>
  <si>
    <t>HRC067</t>
  </si>
  <si>
    <t>HR100</t>
  </si>
  <si>
    <t>HRS021</t>
  </si>
  <si>
    <t>HR036</t>
  </si>
  <si>
    <t>HR097</t>
  </si>
  <si>
    <t>HRC021</t>
  </si>
  <si>
    <t>HRC013</t>
  </si>
  <si>
    <t>E1</t>
  </si>
  <si>
    <t>HR055</t>
  </si>
  <si>
    <t>HR023</t>
  </si>
  <si>
    <t>HR030</t>
  </si>
  <si>
    <t>E6</t>
  </si>
  <si>
    <t>HRC055</t>
  </si>
  <si>
    <t>HRC010</t>
  </si>
  <si>
    <t>HRC023</t>
  </si>
  <si>
    <t>HRC022</t>
  </si>
  <si>
    <t>HR029</t>
  </si>
  <si>
    <t>HRC018</t>
  </si>
  <si>
    <t>HRC001</t>
  </si>
  <si>
    <t>HR099</t>
  </si>
  <si>
    <t>HRC014</t>
  </si>
  <si>
    <t>HRC046</t>
  </si>
  <si>
    <t>HR012</t>
  </si>
  <si>
    <t>HR059</t>
  </si>
  <si>
    <t>HRC011</t>
  </si>
  <si>
    <t>HR065</t>
  </si>
  <si>
    <t>S1</t>
  </si>
  <si>
    <t>HRD005</t>
  </si>
  <si>
    <t>SS3</t>
  </si>
  <si>
    <t>HRS012</t>
  </si>
  <si>
    <t>HRC058</t>
  </si>
  <si>
    <t>HRC063</t>
  </si>
  <si>
    <t>HR026</t>
  </si>
  <si>
    <t>HR053</t>
  </si>
  <si>
    <t>N8</t>
  </si>
  <si>
    <t>HR217</t>
  </si>
  <si>
    <t>HR512</t>
  </si>
  <si>
    <t>HRC025</t>
  </si>
  <si>
    <t>N6</t>
  </si>
  <si>
    <t>HRLC001</t>
  </si>
  <si>
    <t>HR028</t>
  </si>
  <si>
    <t>HR214</t>
  </si>
  <si>
    <t>W2</t>
  </si>
  <si>
    <t>HR042</t>
  </si>
  <si>
    <t>HRC049</t>
  </si>
  <si>
    <t>HRC016</t>
  </si>
  <si>
    <t>HRi033</t>
  </si>
  <si>
    <t>HRP002</t>
  </si>
  <si>
    <t>HR134</t>
  </si>
  <si>
    <t>HR510</t>
  </si>
  <si>
    <t>HR040</t>
  </si>
  <si>
    <t>HR056</t>
  </si>
  <si>
    <t>HR119</t>
  </si>
  <si>
    <t>HRC017</t>
  </si>
  <si>
    <t>HR031</t>
  </si>
  <si>
    <t>HR024</t>
  </si>
  <si>
    <t>HR130</t>
  </si>
  <si>
    <t>HR032</t>
  </si>
  <si>
    <t>HRC052</t>
  </si>
  <si>
    <t>HR148</t>
  </si>
  <si>
    <t>HRC050</t>
  </si>
  <si>
    <t>HRD029</t>
  </si>
  <si>
    <t>HR049</t>
  </si>
  <si>
    <t>N3</t>
  </si>
  <si>
    <t>HR106</t>
  </si>
  <si>
    <t>HRLC012</t>
  </si>
  <si>
    <t>HR145</t>
  </si>
  <si>
    <t>HRC051</t>
  </si>
  <si>
    <t>HR114</t>
  </si>
  <si>
    <t>HR091</t>
  </si>
  <si>
    <t>HRC071</t>
  </si>
  <si>
    <t>HRLC008</t>
  </si>
  <si>
    <t>HRC070</t>
  </si>
  <si>
    <t>HR016</t>
  </si>
  <si>
    <t>HRC026</t>
  </si>
  <si>
    <t>HRC053</t>
  </si>
  <si>
    <t>HR069</t>
  </si>
  <si>
    <t>HR084</t>
  </si>
  <si>
    <t>HRC061</t>
  </si>
  <si>
    <t>HRP001</t>
  </si>
  <si>
    <t>HRC054</t>
  </si>
  <si>
    <t>HRD019</t>
  </si>
  <si>
    <t>HR007</t>
  </si>
  <si>
    <t>S4</t>
  </si>
  <si>
    <t>HR116</t>
  </si>
  <si>
    <t>HR173</t>
  </si>
  <si>
    <t>HR509</t>
  </si>
  <si>
    <t>HRC060</t>
  </si>
  <si>
    <t>HRC065</t>
  </si>
  <si>
    <t>HRC028</t>
  </si>
  <si>
    <t>HRC030</t>
  </si>
  <si>
    <t>HR104</t>
  </si>
  <si>
    <t>HRC034</t>
  </si>
  <si>
    <t>HR505</t>
  </si>
  <si>
    <t>HR020</t>
  </si>
  <si>
    <t>HR025</t>
  </si>
  <si>
    <t>HR117</t>
  </si>
  <si>
    <t>HR511</t>
  </si>
  <si>
    <t>HR521</t>
  </si>
  <si>
    <t>HRC020</t>
  </si>
  <si>
    <t>HR011</t>
  </si>
  <si>
    <t>HR150</t>
  </si>
  <si>
    <t>HRC024</t>
  </si>
  <si>
    <t>HRC057</t>
  </si>
  <si>
    <t>HRD021</t>
  </si>
  <si>
    <t>HR058</t>
  </si>
  <si>
    <t>HRC005</t>
  </si>
  <si>
    <t>HRC012</t>
  </si>
  <si>
    <t>HR034</t>
  </si>
  <si>
    <t>HR057</t>
  </si>
  <si>
    <t>HR061</t>
  </si>
  <si>
    <t>HRC064</t>
  </si>
  <si>
    <t>HR052</t>
  </si>
  <si>
    <t>HR048</t>
  </si>
  <si>
    <t>HR050</t>
  </si>
  <si>
    <t>HR101</t>
  </si>
  <si>
    <t>HRC045</t>
  </si>
  <si>
    <t>HRC062</t>
  </si>
  <si>
    <t>HRE105</t>
  </si>
  <si>
    <t>HR096</t>
  </si>
  <si>
    <t>HR192</t>
  </si>
  <si>
    <t>HRC059</t>
  </si>
  <si>
    <t>HRC047</t>
  </si>
  <si>
    <t>HR044</t>
  </si>
  <si>
    <t>HR045</t>
  </si>
  <si>
    <t>HRC031</t>
  </si>
  <si>
    <t>HR027</t>
  </si>
  <si>
    <t>HRD016</t>
  </si>
  <si>
    <t>HR015</t>
  </si>
  <si>
    <t>HR086</t>
  </si>
  <si>
    <t>HRD003</t>
  </si>
  <si>
    <t>HR112</t>
  </si>
  <si>
    <t>HR135</t>
  </si>
  <si>
    <t>HRC069</t>
  </si>
  <si>
    <t>HR144</t>
  </si>
  <si>
    <t>DJB</t>
  </si>
  <si>
    <t>HR017</t>
  </si>
  <si>
    <t>HRC006</t>
  </si>
  <si>
    <t>HR022</t>
  </si>
  <si>
    <t>S6</t>
  </si>
  <si>
    <t>HRC002</t>
  </si>
  <si>
    <t>HR018</t>
  </si>
  <si>
    <t>HRC009</t>
  </si>
  <si>
    <t>HRC015</t>
  </si>
  <si>
    <t>N4</t>
  </si>
  <si>
    <t>DJB002</t>
  </si>
  <si>
    <t>HR118</t>
  </si>
  <si>
    <t>HR126</t>
  </si>
  <si>
    <t>HR159</t>
  </si>
  <si>
    <t>HR506</t>
  </si>
  <si>
    <t>HR168</t>
  </si>
  <si>
    <t>HR169</t>
  </si>
  <si>
    <t>HRC007</t>
  </si>
  <si>
    <t>HRC032</t>
  </si>
  <si>
    <t>HRC027</t>
  </si>
  <si>
    <t>HRLC002</t>
  </si>
  <si>
    <t>N5</t>
  </si>
  <si>
    <t>HR107</t>
  </si>
  <si>
    <t>HR060</t>
  </si>
  <si>
    <t>HR165</t>
  </si>
  <si>
    <t>HRC003</t>
  </si>
  <si>
    <t>HR196</t>
  </si>
  <si>
    <t>HR041</t>
  </si>
  <si>
    <t>HR064b</t>
  </si>
  <si>
    <t>S/C</t>
  </si>
  <si>
    <t>équipé</t>
  </si>
  <si>
    <t>Déséquipé</t>
  </si>
  <si>
    <t>Côte de mesure (m)</t>
  </si>
  <si>
    <t>BHP (psi)</t>
  </si>
  <si>
    <t>HR088 (2)</t>
  </si>
  <si>
    <t>HR110 (2)</t>
  </si>
  <si>
    <t>TRSSSV</t>
  </si>
  <si>
    <t>Test avec SCADA</t>
  </si>
  <si>
    <t>Qw (sm3/j)</t>
  </si>
  <si>
    <t>Qc (sm3/j)</t>
  </si>
  <si>
    <t>Test avec Séparateur Centre</t>
  </si>
  <si>
    <t>WGR</t>
  </si>
  <si>
    <t>CGR</t>
  </si>
  <si>
    <t>HR038</t>
  </si>
  <si>
    <t>HR164</t>
  </si>
  <si>
    <t>Réservoir</t>
  </si>
  <si>
    <t>Trias</t>
  </si>
  <si>
    <t>LD2</t>
  </si>
  <si>
    <t>Salinité eau (g/l)</t>
  </si>
  <si>
    <t>DJB001B</t>
  </si>
  <si>
    <t>DJBW001B</t>
  </si>
  <si>
    <t>HR006B</t>
  </si>
  <si>
    <t>HR124B</t>
  </si>
  <si>
    <t>HR037B</t>
  </si>
  <si>
    <t>HR046B</t>
  </si>
  <si>
    <t>HR064B</t>
  </si>
  <si>
    <t>HR102B</t>
  </si>
  <si>
    <t>HR123B</t>
  </si>
  <si>
    <t>dg (g/cm3)</t>
  </si>
  <si>
    <t>do (g/cm3)</t>
  </si>
  <si>
    <t>06/07/204</t>
  </si>
  <si>
    <t>WHT (C°)</t>
  </si>
  <si>
    <t>0,752</t>
  </si>
  <si>
    <t>0,751</t>
  </si>
  <si>
    <t>0.765</t>
  </si>
  <si>
    <t xml:space="preserve">0.764 </t>
  </si>
  <si>
    <t>0, 768</t>
  </si>
  <si>
    <t xml:space="preserve">0.770 </t>
  </si>
  <si>
    <t xml:space="preserve">0.769 </t>
  </si>
  <si>
    <t>0.771</t>
  </si>
  <si>
    <t>0.772</t>
  </si>
  <si>
    <t>0.783</t>
  </si>
  <si>
    <t>0.784</t>
  </si>
  <si>
    <t>0.786</t>
  </si>
  <si>
    <t>0.769</t>
  </si>
  <si>
    <t>0.768</t>
  </si>
  <si>
    <t>-</t>
  </si>
  <si>
    <t>0.752</t>
  </si>
  <si>
    <t xml:space="preserve">0.754 </t>
  </si>
  <si>
    <t xml:space="preserve">0.757 </t>
  </si>
  <si>
    <t xml:space="preserve">0.756 </t>
  </si>
  <si>
    <t>0.766</t>
  </si>
  <si>
    <t>0.770</t>
  </si>
  <si>
    <t>0.755</t>
  </si>
  <si>
    <t>0.754</t>
  </si>
  <si>
    <t>Test avec Séparateur Nord et Sud</t>
  </si>
  <si>
    <t xml:space="preserve">0.768 </t>
  </si>
  <si>
    <t xml:space="preserve">0.767 </t>
  </si>
  <si>
    <t>0.764</t>
  </si>
  <si>
    <t>HR057 (2)</t>
  </si>
  <si>
    <t>HR143</t>
  </si>
  <si>
    <t>HR147</t>
  </si>
  <si>
    <t>HR151</t>
  </si>
  <si>
    <t>HR154</t>
  </si>
  <si>
    <t>HR161</t>
  </si>
  <si>
    <t>HR188</t>
  </si>
  <si>
    <t>HR206</t>
  </si>
  <si>
    <t>HR213</t>
  </si>
  <si>
    <t>HRE102</t>
  </si>
  <si>
    <t>HRE110</t>
  </si>
  <si>
    <t>HRE300</t>
  </si>
  <si>
    <t>HRE301</t>
  </si>
  <si>
    <t>HRE302</t>
  </si>
  <si>
    <t>HRE305</t>
  </si>
  <si>
    <t>HRE307</t>
  </si>
  <si>
    <t>HRLC003</t>
  </si>
  <si>
    <t>HRLC007</t>
  </si>
  <si>
    <t>HRLC010</t>
  </si>
  <si>
    <t>HRLC013</t>
  </si>
  <si>
    <t>HRS002</t>
  </si>
  <si>
    <t>SS4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</si>
</sst>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0"/>
    <numFmt numFmtId="165" formatCode="0.000"/>
    <numFmt numFmtId="166" formatCode="_-* #,##0\ _€_-;\-* #,##0\ _€_-;_-* &quot;-&quot;??\ _€_-;_-@_-"/>
  </numFmts>
  <fonts count="2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5"/>
      <name val="Calibri"/>
      <family val="2"/>
      <scheme val="minor"/>
    </font>
    <font>
      <sz val="12"/>
      <color rgb="FFFF0000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b/>
      <sz val="14"/>
      <color theme="1"/>
      <name val="Calibri Light"/>
      <family val="2"/>
      <scheme val="major"/>
    </font>
    <font>
      <sz val="12"/>
      <color rgb="FF000000"/>
      <name val="Calibri"/>
      <family val="2"/>
    </font>
    <font>
      <b/>
      <sz val="12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1"/>
      <name val="Times New Roman"/>
      <family val="1"/>
    </font>
    <font>
      <b/>
      <sz val="12"/>
      <name val="Times New Roman"/>
      <family val="1"/>
    </font>
    <font>
      <u/>
      <sz val="10"/>
      <color theme="10"/>
      <name val="Arial"/>
      <family val="2"/>
    </font>
    <font>
      <sz val="12"/>
      <color rgb="FFFF0000"/>
      <name val="Calibri Light"/>
      <family val="2"/>
      <scheme val="maj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6" fillId="0" borderId="0"/>
    <xf numFmtId="0" fontId="20" fillId="0" borderId="0" applyNumberFormat="0" applyFill="0" applyBorder="0" applyAlignment="0" applyProtection="0"/>
    <xf numFmtId="43" fontId="22" fillId="0" borderId="0" applyFont="0" applyFill="0" applyBorder="0" applyAlignment="0" applyProtection="0"/>
  </cellStyleXfs>
  <cellXfs count="66">
    <xf numFmtId="0" fontId="0" fillId="0" borderId="0" xfId="0"/>
    <xf numFmtId="0" fontId="1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14" fontId="1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2" fontId="3" fillId="0" borderId="0" xfId="0" applyNumberFormat="1" applyFont="1" applyFill="1" applyBorder="1" applyAlignment="1">
      <alignment horizontal="center" vertical="center"/>
    </xf>
    <xf numFmtId="2" fontId="1" fillId="0" borderId="0" xfId="0" applyNumberFormat="1" applyFont="1" applyFill="1" applyBorder="1" applyAlignment="1">
      <alignment horizontal="center" vertical="center"/>
    </xf>
    <xf numFmtId="2" fontId="7" fillId="0" borderId="0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14" fontId="11" fillId="0" borderId="3" xfId="0" applyNumberFormat="1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164" fontId="11" fillId="0" borderId="3" xfId="0" applyNumberFormat="1" applyFont="1" applyBorder="1" applyAlignment="1">
      <alignment horizontal="center" vertical="center"/>
    </xf>
    <xf numFmtId="2" fontId="11" fillId="0" borderId="4" xfId="0" applyNumberFormat="1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14" fontId="11" fillId="0" borderId="0" xfId="0" applyNumberFormat="1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164" fontId="11" fillId="0" borderId="0" xfId="0" applyNumberFormat="1" applyFont="1" applyBorder="1" applyAlignment="1">
      <alignment horizontal="center" vertical="center"/>
    </xf>
    <xf numFmtId="2" fontId="11" fillId="0" borderId="6" xfId="0" applyNumberFormat="1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14" fontId="11" fillId="0" borderId="8" xfId="0" applyNumberFormat="1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164" fontId="11" fillId="0" borderId="8" xfId="0" applyNumberFormat="1" applyFont="1" applyBorder="1" applyAlignment="1">
      <alignment horizontal="center" vertical="center"/>
    </xf>
    <xf numFmtId="2" fontId="11" fillId="0" borderId="9" xfId="0" applyNumberFormat="1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2" fontId="14" fillId="0" borderId="0" xfId="0" applyNumberFormat="1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164" fontId="15" fillId="5" borderId="0" xfId="0" applyNumberFormat="1" applyFont="1" applyFill="1"/>
    <xf numFmtId="164" fontId="4" fillId="5" borderId="0" xfId="0" applyNumberFormat="1" applyFont="1" applyFill="1" applyAlignment="1">
      <alignment horizontal="center"/>
    </xf>
    <xf numFmtId="2" fontId="11" fillId="0" borderId="3" xfId="0" applyNumberFormat="1" applyFont="1" applyBorder="1" applyAlignment="1">
      <alignment horizontal="center" vertical="center"/>
    </xf>
    <xf numFmtId="2" fontId="11" fillId="0" borderId="0" xfId="0" applyNumberFormat="1" applyFont="1" applyBorder="1" applyAlignment="1">
      <alignment horizontal="center" vertical="center"/>
    </xf>
    <xf numFmtId="2" fontId="11" fillId="0" borderId="8" xfId="0" applyNumberFormat="1" applyFont="1" applyBorder="1" applyAlignment="1">
      <alignment horizontal="center" vertical="center"/>
    </xf>
    <xf numFmtId="165" fontId="3" fillId="0" borderId="0" xfId="0" applyNumberFormat="1" applyFont="1" applyFill="1" applyBorder="1" applyAlignment="1">
      <alignment horizontal="center" vertical="center"/>
    </xf>
    <xf numFmtId="165" fontId="11" fillId="0" borderId="3" xfId="0" applyNumberFormat="1" applyFont="1" applyBorder="1" applyAlignment="1">
      <alignment horizontal="center" vertical="center"/>
    </xf>
    <xf numFmtId="165" fontId="11" fillId="0" borderId="0" xfId="0" applyNumberFormat="1" applyFont="1" applyBorder="1" applyAlignment="1">
      <alignment horizontal="center" vertical="center"/>
    </xf>
    <xf numFmtId="165" fontId="11" fillId="0" borderId="8" xfId="0" applyNumberFormat="1" applyFont="1" applyBorder="1" applyAlignment="1">
      <alignment horizontal="center" vertical="center"/>
    </xf>
    <xf numFmtId="165" fontId="14" fillId="0" borderId="0" xfId="0" applyNumberFormat="1" applyFont="1" applyFill="1" applyBorder="1" applyAlignment="1">
      <alignment horizontal="center" vertical="center"/>
    </xf>
    <xf numFmtId="2" fontId="21" fillId="0" borderId="3" xfId="0" applyNumberFormat="1" applyFont="1" applyBorder="1" applyAlignment="1">
      <alignment horizontal="center" vertical="center"/>
    </xf>
    <xf numFmtId="2" fontId="21" fillId="0" borderId="0" xfId="0" applyNumberFormat="1" applyFont="1" applyBorder="1" applyAlignment="1">
      <alignment horizontal="center" vertical="center"/>
    </xf>
    <xf numFmtId="2" fontId="21" fillId="0" borderId="8" xfId="0" applyNumberFormat="1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164" fontId="15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1" fontId="18" fillId="0" borderId="0" xfId="0" applyNumberFormat="1" applyFont="1" applyFill="1" applyBorder="1" applyAlignment="1">
      <alignment horizontal="center" vertical="center"/>
    </xf>
    <xf numFmtId="1" fontId="17" fillId="0" borderId="0" xfId="1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/>
    </xf>
    <xf numFmtId="166" fontId="18" fillId="0" borderId="0" xfId="3" applyNumberFormat="1" applyFont="1" applyFill="1" applyBorder="1" applyAlignment="1">
      <alignment horizontal="center"/>
    </xf>
    <xf numFmtId="2" fontId="18" fillId="0" borderId="0" xfId="0" applyNumberFormat="1" applyFont="1" applyFill="1" applyBorder="1" applyAlignment="1">
      <alignment horizontal="center"/>
    </xf>
    <xf numFmtId="0" fontId="18" fillId="0" borderId="0" xfId="0" applyFont="1" applyFill="1" applyBorder="1" applyAlignment="1">
      <alignment horizontal="center"/>
    </xf>
    <xf numFmtId="0" fontId="18" fillId="0" borderId="0" xfId="0" applyFont="1" applyFill="1" applyBorder="1" applyAlignment="1">
      <alignment horizontal="center" vertical="center"/>
    </xf>
    <xf numFmtId="0" fontId="13" fillId="4" borderId="10" xfId="0" applyFont="1" applyFill="1" applyBorder="1" applyAlignment="1">
      <alignment horizontal="center" vertical="center"/>
    </xf>
    <xf numFmtId="0" fontId="13" fillId="4" borderId="11" xfId="0" applyFont="1" applyFill="1" applyBorder="1" applyAlignment="1">
      <alignment horizontal="center" vertical="center"/>
    </xf>
    <xf numFmtId="0" fontId="13" fillId="4" borderId="12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</cellXfs>
  <cellStyles count="4">
    <cellStyle name="Hyperlink 3" xfId="2" xr:uid="{EF25E07F-BB6E-4712-B4E6-158C285E881A}"/>
    <cellStyle name="Milliers" xfId="3" builtinId="3"/>
    <cellStyle name="Normal" xfId="0" builtinId="0"/>
    <cellStyle name="Normal 2" xfId="1" xr:uid="{B9E85DC8-05B2-43EF-866C-A0F7ED700B46}"/>
  </cellStyles>
  <dxfs count="3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2" formatCode="0.00"/>
      <fill>
        <patternFill patternType="none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165" formatCode="0.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165" formatCode="0.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2" formatCode="0.00"/>
      <fill>
        <patternFill patternType="none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2" formatCode="0.00"/>
      <fill>
        <patternFill patternType="none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0.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5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5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104775</xdr:colOff>
      <xdr:row>0</xdr:row>
      <xdr:rowOff>123824</xdr:rowOff>
    </xdr:from>
    <xdr:to>
      <xdr:col>4</xdr:col>
      <xdr:colOff>600075</xdr:colOff>
      <xdr:row>26</xdr:row>
      <xdr:rowOff>133349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4" name="Puits">
              <a:extLst>
                <a:ext uri="{FF2B5EF4-FFF2-40B4-BE49-F238E27FC236}">
                  <a16:creationId xmlns:a16="http://schemas.microsoft.com/office/drawing/2014/main" id="{B6BC3891-2C02-43D7-9911-CA56E1466D1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uit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775" y="123824"/>
              <a:ext cx="4486275" cy="5210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 de table. Les segments de table ne sont pas pris en charge dans cette version d’Excel.
En revanche, si la forme a été modifiée dans une version antérieure d’Excel, ou si le classeur a été enregistré dans Excel 2007 ou une version antérieure, vous ne pouvez pas utiliser le segment.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104775</xdr:colOff>
      <xdr:row>0</xdr:row>
      <xdr:rowOff>123824</xdr:rowOff>
    </xdr:from>
    <xdr:to>
      <xdr:col>4</xdr:col>
      <xdr:colOff>600075</xdr:colOff>
      <xdr:row>26</xdr:row>
      <xdr:rowOff>133349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Puits 2">
              <a:extLst>
                <a:ext uri="{FF2B5EF4-FFF2-40B4-BE49-F238E27FC236}">
                  <a16:creationId xmlns:a16="http://schemas.microsoft.com/office/drawing/2014/main" id="{0C55C612-D52E-4F08-B989-9145DE85FA5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uits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775" y="123824"/>
              <a:ext cx="4486275" cy="5210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 de table. Les segments de table ne sont pas pris en charge dans cette version d’Excel.
En revanche, si la forme a été modifiée dans une version antérieure d’Excel, ou si le classeur a été enregistré dans Excel 2007 ou une version antérieure, vous ne pouvez pas utiliser le segment.</a:t>
              </a:r>
            </a:p>
          </xdr:txBody>
        </xdr:sp>
      </mc:Fallback>
    </mc:AlternateContent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Puits" xr10:uid="{BBFE17A5-E164-43BF-AE3E-1E16E9003C08}" sourceName="Puits">
  <extLst>
    <x:ext xmlns:x15="http://schemas.microsoft.com/office/spreadsheetml/2010/11/main" uri="{2F2917AC-EB37-4324-AD4E-5DD8C200BD13}">
      <x15:tableSlicerCache tableId="4" column="2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Puits2" xr10:uid="{283A1500-1C5C-453F-BBE3-B4854FC0734A}" sourceName="Puits">
  <extLst>
    <x:ext xmlns:x15="http://schemas.microsoft.com/office/spreadsheetml/2010/11/main" uri="{2F2917AC-EB37-4324-AD4E-5DD8C200BD13}">
      <x15:tableSlicerCache tableId="1" column="2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uits" xr10:uid="{6405C93A-5F54-42F0-8E88-A8E7908DA348}" cache="Segment_Puits" caption="Puits" columnCount="5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uits 2" xr10:uid="{104C7999-0294-4173-97E1-031500FDF4F1}" cache="Segment_Puits2" caption="Puits" columnCount="5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ED1544-1442-4464-9F3F-373E89023DA3}" name="SCADA" displayName="SCADA" ref="A28:K265" totalsRowShown="0" headerRowDxfId="33" dataDxfId="32">
  <autoFilter ref="A28:K265" xr:uid="{1BED1544-1442-4464-9F3F-373E89023DA3}"/>
  <tableColumns count="11">
    <tableColumn id="1" xr3:uid="{1C1EC89D-9BCD-47B0-A3E6-B718B1F038D3}" name="N°" dataDxfId="31"/>
    <tableColumn id="2" xr3:uid="{CD82B35D-BAB2-4C7D-AFA1-A59CCC56279C}" name="Puits" dataDxfId="30"/>
    <tableColumn id="3" xr3:uid="{25AF6027-AAE3-491A-9224-D660F69781F1}" name="Date" dataDxfId="29"/>
    <tableColumn id="4" xr3:uid="{19314573-26A8-4A85-8E3F-A16FD4F06C54}" name="Côte de mesure" dataDxfId="28"/>
    <tableColumn id="5" xr3:uid="{F8D764B2-D17E-4972-9F7D-F072399D61FE}" name="Qg (Msm3/j)" dataDxfId="27"/>
    <tableColumn id="22" xr3:uid="{4748D3F5-3CA5-4DAD-92DD-E1FA3FB61B21}" name="WHP (bar)" dataDxfId="26"/>
    <tableColumn id="6" xr3:uid="{3A143395-1755-4F27-8D5C-E4081ACB3092}" name="BHT (C°)" dataDxfId="25"/>
    <tableColumn id="8" xr3:uid="{00E0BB55-860B-430A-AAE3-45E176AB8BB0}" name="BHP (bar)" dataDxfId="24"/>
    <tableColumn id="9" xr3:uid="{13A85577-9E1E-4CA2-9354-6E7BD54534F5}" name="FGS" dataDxfId="23"/>
    <tableColumn id="10" xr3:uid="{9A9633DC-9874-4D62-8570-325823F68081}" name="S/C" dataDxfId="22"/>
    <tableColumn id="17" xr3:uid="{F2755864-61F7-489A-8E63-0CB07B1DF819}" name="Zone" dataDxfId="21">
      <calculatedColumnFormula>VLOOKUP(SCADA[[#This Row],[Puits]],Puits!$A$1:$F$267,3,FALSE)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05C646-6C4F-4B22-B493-642D967D3D1D}" name="Séparateur" displayName="Séparateur" ref="A28:S445" totalsRowShown="0" headerRowDxfId="20" dataDxfId="19">
  <autoFilter ref="A28:S445" xr:uid="{1BED1544-1442-4464-9F3F-373E89023DA3}"/>
  <tableColumns count="19">
    <tableColumn id="1" xr3:uid="{54A65ADD-3068-4E47-933F-946AD828FEB0}" name="N°" dataDxfId="18"/>
    <tableColumn id="2" xr3:uid="{68F85EF0-1F64-4E2C-841E-5A3FDFEE4F04}" name="Puits" dataDxfId="17"/>
    <tableColumn id="3" xr3:uid="{E9292EAA-B764-48E5-89CC-37C0288CA215}" name="Date" dataDxfId="16"/>
    <tableColumn id="4" xr3:uid="{B565E0C0-71B1-49F2-AD19-066149285257}" name="Côte de mesure" dataDxfId="15"/>
    <tableColumn id="5" xr3:uid="{B5A50084-83E6-4985-837B-5F822BF175B1}" name="Qg (Msm3/j)" dataDxfId="14"/>
    <tableColumn id="18" xr3:uid="{EBC7E25A-65FF-47D2-8142-4427C31E0DDD}" name="Qc (sm3/j)" dataDxfId="13"/>
    <tableColumn id="19" xr3:uid="{1D1B912D-DB23-44F3-8D89-E6B9BD396B46}" name="Qw (sm3/j)" dataDxfId="12"/>
    <tableColumn id="29" xr3:uid="{0ED7A513-AF64-478A-B356-846F4B1BB61F}" name="WHP (bar)" dataDxfId="11"/>
    <tableColumn id="34" xr3:uid="{37388CFE-BF47-4A78-A417-A7E9A8E098A6}" name="WHT (C°)" dataDxfId="10"/>
    <tableColumn id="6" xr3:uid="{78625915-1E4F-4143-AB91-B6B1757BF66D}" name="BHT (C°)" dataDxfId="9"/>
    <tableColumn id="8" xr3:uid="{9E3D5B87-2104-440C-903F-96388E9433E2}" name="BHP (bar)" dataDxfId="8"/>
    <tableColumn id="9" xr3:uid="{66487FFB-2BDE-4CDB-ADA3-2AB0E8423C60}" name="FGS" dataDxfId="7"/>
    <tableColumn id="10" xr3:uid="{B4972840-E632-46CD-BC3C-22BB98869A5C}" name="S/C" dataDxfId="6"/>
    <tableColumn id="17" xr3:uid="{BBBCF889-316C-44A1-86B8-69F611F84F6B}" name="Zone" dataDxfId="5">
      <calculatedColumnFormula>VLOOKUP(Séparateur[[#This Row],[Puits]],Puits!$A$1:$F$267,3,FALSE)</calculatedColumnFormula>
    </tableColumn>
    <tableColumn id="24" xr3:uid="{DB3704CC-74FA-48A5-B47C-EEBDE851759B}" name="WGR" dataDxfId="4">
      <calculatedColumnFormula>(Séparateur[[#This Row],[Qw (sm3/j)]]/(Séparateur[[#This Row],[Qg (Msm3/j)]]*1000))*1000000</calculatedColumnFormula>
    </tableColumn>
    <tableColumn id="25" xr3:uid="{96A3CDCE-6E21-4179-9045-4BC2AA2DEBC3}" name="CGR" dataDxfId="3">
      <calculatedColumnFormula>(Séparateur[[#This Row],[Qc (sm3/j)]]/(Séparateur[[#This Row],[Qg (Msm3/j)]]*1000))*1000000</calculatedColumnFormula>
    </tableColumn>
    <tableColumn id="32" xr3:uid="{FE68B42E-032A-4839-86AF-0F43093AC684}" name="do (g/cm3)" dataDxfId="2"/>
    <tableColumn id="33" xr3:uid="{7643E3E2-7008-468F-BF7A-7AAE7F2C2365}" name="dg (g/cm3)" dataDxfId="1"/>
    <tableColumn id="20" xr3:uid="{DAA9C658-C3D4-4035-971B-19C62E48D3D1}" name="Salinité eau (g/l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openxmlformats.org/officeDocument/2006/relationships/comments" Target="../comments1.xml"/><Relationship Id="rId4" Type="http://schemas.microsoft.com/office/2007/relationships/slicer" Target="../slicers/slicer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omments" Target="../comments2.xml"/><Relationship Id="rId5" Type="http://schemas.microsoft.com/office/2007/relationships/slicer" Target="../slicers/slicer2.xml"/><Relationship Id="rId4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4868D-6E25-4C01-A21D-DB85B9F5AF57}">
  <dimension ref="A1:F267"/>
  <sheetViews>
    <sheetView workbookViewId="0">
      <pane ySplit="1" topLeftCell="A230" activePane="bottomLeft" state="frozen"/>
      <selection pane="bottomLeft" activeCell="D275" sqref="D275"/>
    </sheetView>
  </sheetViews>
  <sheetFormatPr baseColWidth="10" defaultRowHeight="15.75" x14ac:dyDescent="0.25"/>
  <cols>
    <col min="1" max="1" width="12.28515625" style="2" customWidth="1"/>
    <col min="2" max="2" width="10.140625" style="2" customWidth="1"/>
    <col min="3" max="3" width="10" style="2" customWidth="1"/>
    <col min="4" max="4" width="13.7109375" style="2" customWidth="1"/>
    <col min="5" max="5" width="10" style="2" customWidth="1"/>
    <col min="6" max="6" width="10.140625" style="2" bestFit="1" customWidth="1"/>
    <col min="7" max="16384" width="11.42578125" style="2"/>
  </cols>
  <sheetData>
    <row r="1" spans="1:6" ht="30" customHeight="1" x14ac:dyDescent="0.25">
      <c r="A1" s="3" t="s">
        <v>0</v>
      </c>
      <c r="B1" s="3" t="s">
        <v>312</v>
      </c>
      <c r="C1" s="3" t="s">
        <v>69</v>
      </c>
      <c r="D1" s="3" t="s">
        <v>70</v>
      </c>
      <c r="E1" s="3" t="s">
        <v>71</v>
      </c>
      <c r="F1" s="3" t="s">
        <v>72</v>
      </c>
    </row>
    <row r="2" spans="1:6" x14ac:dyDescent="0.25">
      <c r="A2" s="2" t="s">
        <v>316</v>
      </c>
      <c r="B2" s="2" t="s">
        <v>313</v>
      </c>
      <c r="C2" s="2" t="s">
        <v>267</v>
      </c>
      <c r="D2" s="2" t="s">
        <v>88</v>
      </c>
      <c r="E2" s="2" t="s">
        <v>89</v>
      </c>
      <c r="F2" s="2" t="s">
        <v>267</v>
      </c>
    </row>
    <row r="3" spans="1:6" x14ac:dyDescent="0.25">
      <c r="A3" s="2" t="s">
        <v>277</v>
      </c>
      <c r="B3" s="2" t="s">
        <v>313</v>
      </c>
      <c r="C3" s="2" t="s">
        <v>267</v>
      </c>
      <c r="D3" s="2" t="s">
        <v>88</v>
      </c>
      <c r="E3" s="2" t="s">
        <v>89</v>
      </c>
      <c r="F3" s="2" t="s">
        <v>267</v>
      </c>
    </row>
    <row r="4" spans="1:6" x14ac:dyDescent="0.25">
      <c r="A4" s="2" t="s">
        <v>317</v>
      </c>
      <c r="B4" s="2" t="s">
        <v>313</v>
      </c>
      <c r="C4" s="2" t="s">
        <v>267</v>
      </c>
      <c r="D4" s="2" t="s">
        <v>88</v>
      </c>
      <c r="E4" s="2" t="s">
        <v>89</v>
      </c>
      <c r="F4" s="2" t="s">
        <v>267</v>
      </c>
    </row>
    <row r="5" spans="1:6" x14ac:dyDescent="0.25">
      <c r="A5" s="2" t="s">
        <v>318</v>
      </c>
      <c r="B5" s="2" t="s">
        <v>313</v>
      </c>
      <c r="C5" s="2" t="s">
        <v>87</v>
      </c>
      <c r="D5" s="2" t="s">
        <v>88</v>
      </c>
      <c r="E5" s="2" t="s">
        <v>89</v>
      </c>
      <c r="F5" s="2" t="s">
        <v>158</v>
      </c>
    </row>
    <row r="6" spans="1:6" x14ac:dyDescent="0.25">
      <c r="A6" s="2" t="s">
        <v>214</v>
      </c>
      <c r="B6" s="2" t="s">
        <v>313</v>
      </c>
      <c r="C6" s="2" t="s">
        <v>73</v>
      </c>
      <c r="D6" s="2" t="s">
        <v>74</v>
      </c>
      <c r="E6" s="2" t="s">
        <v>82</v>
      </c>
      <c r="F6" s="2" t="s">
        <v>83</v>
      </c>
    </row>
    <row r="7" spans="1:6" x14ac:dyDescent="0.25">
      <c r="A7" s="2" t="s">
        <v>96</v>
      </c>
      <c r="B7" s="2" t="s">
        <v>313</v>
      </c>
      <c r="C7" s="2" t="s">
        <v>73</v>
      </c>
      <c r="D7" s="2" t="s">
        <v>74</v>
      </c>
      <c r="E7" s="2" t="s">
        <v>75</v>
      </c>
      <c r="F7" s="2" t="s">
        <v>95</v>
      </c>
    </row>
    <row r="8" spans="1:6" x14ac:dyDescent="0.25">
      <c r="A8" s="2" t="s">
        <v>232</v>
      </c>
      <c r="B8" s="2" t="s">
        <v>313</v>
      </c>
      <c r="C8" s="2" t="s">
        <v>73</v>
      </c>
      <c r="D8" s="2" t="s">
        <v>74</v>
      </c>
      <c r="E8" s="2" t="s">
        <v>75</v>
      </c>
      <c r="F8" s="2" t="s">
        <v>108</v>
      </c>
    </row>
    <row r="9" spans="1:6" x14ac:dyDescent="0.25">
      <c r="A9" s="2" t="s">
        <v>154</v>
      </c>
      <c r="B9" s="2" t="s">
        <v>313</v>
      </c>
      <c r="C9" s="2" t="s">
        <v>87</v>
      </c>
      <c r="D9" s="2" t="s">
        <v>88</v>
      </c>
      <c r="E9" s="2" t="s">
        <v>89</v>
      </c>
      <c r="F9" s="2" t="s">
        <v>104</v>
      </c>
    </row>
    <row r="10" spans="1:6" x14ac:dyDescent="0.25">
      <c r="A10" s="2" t="s">
        <v>260</v>
      </c>
      <c r="B10" s="2" t="s">
        <v>313</v>
      </c>
      <c r="C10" s="2" t="s">
        <v>73</v>
      </c>
      <c r="D10" s="2" t="s">
        <v>74</v>
      </c>
      <c r="E10" s="2" t="s">
        <v>75</v>
      </c>
      <c r="F10" s="2" t="s">
        <v>76</v>
      </c>
    </row>
    <row r="11" spans="1:6" x14ac:dyDescent="0.25">
      <c r="A11" s="2" t="s">
        <v>205</v>
      </c>
      <c r="B11" s="2" t="s">
        <v>313</v>
      </c>
      <c r="C11" s="2" t="s">
        <v>73</v>
      </c>
      <c r="D11" s="2" t="s">
        <v>74</v>
      </c>
      <c r="E11" s="2" t="s">
        <v>75</v>
      </c>
      <c r="F11" s="2" t="s">
        <v>108</v>
      </c>
    </row>
    <row r="12" spans="1:6" x14ac:dyDescent="0.25">
      <c r="A12" s="2" t="s">
        <v>268</v>
      </c>
      <c r="B12" s="2" t="s">
        <v>313</v>
      </c>
      <c r="C12" s="2" t="s">
        <v>73</v>
      </c>
      <c r="D12" s="2" t="s">
        <v>74</v>
      </c>
      <c r="E12" s="2" t="s">
        <v>75</v>
      </c>
      <c r="F12" s="2" t="s">
        <v>76</v>
      </c>
    </row>
    <row r="13" spans="1:6" x14ac:dyDescent="0.25">
      <c r="A13" s="2" t="s">
        <v>273</v>
      </c>
      <c r="B13" s="2" t="s">
        <v>313</v>
      </c>
      <c r="C13" s="2" t="s">
        <v>73</v>
      </c>
      <c r="D13" s="2" t="s">
        <v>74</v>
      </c>
      <c r="E13" s="2" t="s">
        <v>75</v>
      </c>
      <c r="F13" s="2" t="s">
        <v>76</v>
      </c>
    </row>
    <row r="14" spans="1:6" x14ac:dyDescent="0.25">
      <c r="A14" s="2" t="s">
        <v>77</v>
      </c>
      <c r="B14" s="2" t="s">
        <v>313</v>
      </c>
      <c r="C14" s="2" t="s">
        <v>73</v>
      </c>
      <c r="D14" s="2" t="s">
        <v>74</v>
      </c>
      <c r="E14" s="2" t="s">
        <v>75</v>
      </c>
      <c r="F14" s="2" t="s">
        <v>76</v>
      </c>
    </row>
    <row r="15" spans="1:6" x14ac:dyDescent="0.25">
      <c r="A15" s="2" t="s">
        <v>226</v>
      </c>
      <c r="B15" s="2" t="s">
        <v>313</v>
      </c>
      <c r="C15" s="2" t="s">
        <v>73</v>
      </c>
      <c r="D15" s="2" t="s">
        <v>74</v>
      </c>
      <c r="E15" s="2" t="s">
        <v>75</v>
      </c>
      <c r="F15" s="2" t="s">
        <v>76</v>
      </c>
    </row>
    <row r="16" spans="1:6" x14ac:dyDescent="0.25">
      <c r="A16" s="2" t="s">
        <v>109</v>
      </c>
      <c r="B16" s="2" t="s">
        <v>313</v>
      </c>
      <c r="C16" s="2" t="s">
        <v>73</v>
      </c>
      <c r="D16" s="2" t="s">
        <v>74</v>
      </c>
      <c r="E16" s="2" t="s">
        <v>75</v>
      </c>
      <c r="F16" s="2" t="s">
        <v>108</v>
      </c>
    </row>
    <row r="17" spans="1:6" x14ac:dyDescent="0.25">
      <c r="A17" s="2" t="s">
        <v>270</v>
      </c>
      <c r="B17" s="2" t="s">
        <v>313</v>
      </c>
      <c r="C17" s="2" t="s">
        <v>73</v>
      </c>
      <c r="D17" s="2" t="s">
        <v>74</v>
      </c>
      <c r="E17" s="2" t="s">
        <v>75</v>
      </c>
      <c r="F17" s="2" t="s">
        <v>108</v>
      </c>
    </row>
    <row r="18" spans="1:6" x14ac:dyDescent="0.25">
      <c r="A18" s="2" t="s">
        <v>141</v>
      </c>
      <c r="B18" s="2" t="s">
        <v>313</v>
      </c>
      <c r="C18" s="2" t="s">
        <v>73</v>
      </c>
      <c r="D18" s="2" t="s">
        <v>74</v>
      </c>
      <c r="E18" s="2" t="s">
        <v>75</v>
      </c>
      <c r="F18" s="2" t="s">
        <v>108</v>
      </c>
    </row>
    <row r="19" spans="1:6" x14ac:dyDescent="0.25">
      <c r="A19" s="2" t="s">
        <v>187</v>
      </c>
      <c r="B19" s="2" t="s">
        <v>313</v>
      </c>
      <c r="C19" s="2" t="s">
        <v>73</v>
      </c>
      <c r="D19" s="2" t="s">
        <v>74</v>
      </c>
      <c r="E19" s="2" t="s">
        <v>82</v>
      </c>
      <c r="F19" s="2" t="s">
        <v>83</v>
      </c>
    </row>
    <row r="20" spans="1:6" x14ac:dyDescent="0.25">
      <c r="A20" s="2" t="s">
        <v>227</v>
      </c>
      <c r="B20" s="2" t="s">
        <v>313</v>
      </c>
      <c r="C20" s="2" t="s">
        <v>73</v>
      </c>
      <c r="D20" s="2" t="s">
        <v>74</v>
      </c>
      <c r="E20" s="2" t="s">
        <v>82</v>
      </c>
      <c r="F20" s="2" t="s">
        <v>83</v>
      </c>
    </row>
    <row r="21" spans="1:6" x14ac:dyDescent="0.25">
      <c r="A21" s="2" t="s">
        <v>164</v>
      </c>
      <c r="B21" s="2" t="s">
        <v>313</v>
      </c>
      <c r="C21" s="2" t="s">
        <v>73</v>
      </c>
      <c r="D21" s="2" t="s">
        <v>74</v>
      </c>
      <c r="E21" s="2" t="s">
        <v>82</v>
      </c>
      <c r="F21" s="2" t="s">
        <v>83</v>
      </c>
    </row>
    <row r="22" spans="1:6" x14ac:dyDescent="0.25">
      <c r="A22" s="2" t="s">
        <v>258</v>
      </c>
      <c r="B22" s="2" t="s">
        <v>313</v>
      </c>
      <c r="C22" s="2" t="s">
        <v>73</v>
      </c>
      <c r="D22" s="2" t="s">
        <v>74</v>
      </c>
      <c r="E22" s="2" t="s">
        <v>82</v>
      </c>
      <c r="F22" s="2" t="s">
        <v>83</v>
      </c>
    </row>
    <row r="23" spans="1:6" x14ac:dyDescent="0.25">
      <c r="A23" s="2" t="s">
        <v>172</v>
      </c>
      <c r="B23" s="2" t="s">
        <v>313</v>
      </c>
      <c r="C23" s="2" t="s">
        <v>73</v>
      </c>
      <c r="D23" s="2" t="s">
        <v>74</v>
      </c>
      <c r="E23" s="2" t="s">
        <v>82</v>
      </c>
      <c r="F23" s="2" t="s">
        <v>85</v>
      </c>
    </row>
    <row r="24" spans="1:6" x14ac:dyDescent="0.25">
      <c r="A24" s="2" t="s">
        <v>148</v>
      </c>
      <c r="B24" s="2" t="s">
        <v>313</v>
      </c>
      <c r="C24" s="2" t="s">
        <v>73</v>
      </c>
      <c r="D24" s="2" t="s">
        <v>74</v>
      </c>
      <c r="E24" s="2" t="s">
        <v>82</v>
      </c>
      <c r="F24" s="2" t="s">
        <v>83</v>
      </c>
    </row>
    <row r="25" spans="1:6" x14ac:dyDescent="0.25">
      <c r="A25" s="2" t="s">
        <v>142</v>
      </c>
      <c r="B25" s="2" t="s">
        <v>313</v>
      </c>
      <c r="C25" s="2" t="s">
        <v>73</v>
      </c>
      <c r="D25" s="2" t="s">
        <v>74</v>
      </c>
      <c r="E25" s="2" t="s">
        <v>82</v>
      </c>
      <c r="F25" s="2" t="s">
        <v>83</v>
      </c>
    </row>
    <row r="26" spans="1:6" x14ac:dyDescent="0.25">
      <c r="A26" s="2" t="s">
        <v>186</v>
      </c>
      <c r="B26" s="2" t="s">
        <v>313</v>
      </c>
      <c r="C26" s="2" t="s">
        <v>73</v>
      </c>
      <c r="D26" s="2" t="s">
        <v>74</v>
      </c>
      <c r="E26" s="2" t="s">
        <v>82</v>
      </c>
      <c r="F26" s="2" t="s">
        <v>85</v>
      </c>
    </row>
    <row r="27" spans="1:6" x14ac:dyDescent="0.25">
      <c r="A27" s="2" t="s">
        <v>189</v>
      </c>
      <c r="B27" s="2" t="s">
        <v>313</v>
      </c>
      <c r="C27" s="2" t="s">
        <v>73</v>
      </c>
      <c r="D27" s="2" t="s">
        <v>74</v>
      </c>
      <c r="E27" s="2" t="s">
        <v>82</v>
      </c>
      <c r="F27" s="2" t="s">
        <v>85</v>
      </c>
    </row>
    <row r="28" spans="1:6" x14ac:dyDescent="0.25">
      <c r="A28" s="2" t="s">
        <v>86</v>
      </c>
      <c r="B28" s="2" t="s">
        <v>313</v>
      </c>
      <c r="C28" s="2" t="s">
        <v>73</v>
      </c>
      <c r="D28" s="2" t="s">
        <v>74</v>
      </c>
      <c r="E28" s="2" t="s">
        <v>82</v>
      </c>
      <c r="F28" s="2" t="s">
        <v>85</v>
      </c>
    </row>
    <row r="29" spans="1:6" x14ac:dyDescent="0.25">
      <c r="A29" s="2" t="s">
        <v>240</v>
      </c>
      <c r="B29" s="2" t="s">
        <v>313</v>
      </c>
      <c r="C29" s="2" t="s">
        <v>73</v>
      </c>
      <c r="D29" s="2" t="s">
        <v>74</v>
      </c>
      <c r="E29" s="2" t="s">
        <v>82</v>
      </c>
      <c r="F29" s="2" t="s">
        <v>85</v>
      </c>
    </row>
    <row r="30" spans="1:6" x14ac:dyDescent="0.25">
      <c r="A30" s="2" t="s">
        <v>84</v>
      </c>
      <c r="B30" s="2" t="s">
        <v>313</v>
      </c>
      <c r="C30" s="2" t="s">
        <v>73</v>
      </c>
      <c r="D30" s="2" t="s">
        <v>74</v>
      </c>
      <c r="E30" s="2" t="s">
        <v>82</v>
      </c>
      <c r="F30" s="2" t="s">
        <v>83</v>
      </c>
    </row>
    <row r="31" spans="1:6" x14ac:dyDescent="0.25">
      <c r="A31" s="2" t="s">
        <v>135</v>
      </c>
      <c r="B31" s="2" t="s">
        <v>313</v>
      </c>
      <c r="C31" s="2" t="s">
        <v>73</v>
      </c>
      <c r="D31" s="2" t="s">
        <v>74</v>
      </c>
      <c r="E31" s="2" t="s">
        <v>82</v>
      </c>
      <c r="F31" s="2" t="s">
        <v>85</v>
      </c>
    </row>
    <row r="32" spans="1:6" x14ac:dyDescent="0.25">
      <c r="A32" s="2" t="s">
        <v>320</v>
      </c>
      <c r="B32" s="2" t="s">
        <v>313</v>
      </c>
      <c r="C32" s="2" t="s">
        <v>73</v>
      </c>
      <c r="D32" s="2" t="s">
        <v>74</v>
      </c>
      <c r="E32" s="2" t="s">
        <v>92</v>
      </c>
      <c r="F32" s="2" t="s">
        <v>111</v>
      </c>
    </row>
    <row r="33" spans="1:6" x14ac:dyDescent="0.25">
      <c r="A33" s="2" t="s">
        <v>310</v>
      </c>
      <c r="B33" s="2" t="s">
        <v>314</v>
      </c>
      <c r="C33" s="2" t="s">
        <v>73</v>
      </c>
      <c r="D33" s="2" t="s">
        <v>74</v>
      </c>
      <c r="E33" s="2" t="s">
        <v>82</v>
      </c>
      <c r="F33" s="2" t="s">
        <v>83</v>
      </c>
    </row>
    <row r="34" spans="1:6" x14ac:dyDescent="0.25">
      <c r="A34" s="2" t="s">
        <v>106</v>
      </c>
      <c r="B34" s="2" t="s">
        <v>313</v>
      </c>
      <c r="C34" s="2" t="s">
        <v>73</v>
      </c>
      <c r="D34" s="2" t="s">
        <v>74</v>
      </c>
      <c r="E34" s="2" t="s">
        <v>92</v>
      </c>
      <c r="F34" s="2" t="s">
        <v>105</v>
      </c>
    </row>
    <row r="35" spans="1:6" x14ac:dyDescent="0.25">
      <c r="A35" s="2" t="s">
        <v>182</v>
      </c>
      <c r="B35" s="2" t="s">
        <v>313</v>
      </c>
      <c r="C35" s="2" t="s">
        <v>73</v>
      </c>
      <c r="D35" s="2" t="s">
        <v>74</v>
      </c>
      <c r="E35" s="2" t="s">
        <v>92</v>
      </c>
      <c r="F35" s="2" t="s">
        <v>105</v>
      </c>
    </row>
    <row r="36" spans="1:6" x14ac:dyDescent="0.25">
      <c r="A36" s="2" t="s">
        <v>294</v>
      </c>
      <c r="B36" s="2" t="s">
        <v>314</v>
      </c>
      <c r="C36" s="2" t="s">
        <v>73</v>
      </c>
      <c r="D36" s="2" t="s">
        <v>74</v>
      </c>
      <c r="E36" s="2" t="s">
        <v>82</v>
      </c>
      <c r="F36" s="2" t="s">
        <v>83</v>
      </c>
    </row>
    <row r="37" spans="1:6" x14ac:dyDescent="0.25">
      <c r="A37" s="2" t="s">
        <v>175</v>
      </c>
      <c r="B37" s="2" t="s">
        <v>313</v>
      </c>
      <c r="C37" s="2" t="s">
        <v>73</v>
      </c>
      <c r="D37" s="2" t="s">
        <v>74</v>
      </c>
      <c r="E37" s="2" t="s">
        <v>92</v>
      </c>
      <c r="F37" s="2" t="s">
        <v>174</v>
      </c>
    </row>
    <row r="38" spans="1:6" x14ac:dyDescent="0.25">
      <c r="A38" s="2" t="s">
        <v>124</v>
      </c>
      <c r="B38" s="2" t="s">
        <v>313</v>
      </c>
      <c r="C38" s="2" t="s">
        <v>73</v>
      </c>
      <c r="D38" s="2" t="s">
        <v>74</v>
      </c>
      <c r="E38" s="2" t="s">
        <v>92</v>
      </c>
      <c r="F38" s="2" t="s">
        <v>98</v>
      </c>
    </row>
    <row r="39" spans="1:6" x14ac:dyDescent="0.25">
      <c r="A39" s="2" t="s">
        <v>255</v>
      </c>
      <c r="B39" s="2" t="s">
        <v>313</v>
      </c>
      <c r="C39" s="2" t="s">
        <v>73</v>
      </c>
      <c r="D39" s="2" t="s">
        <v>74</v>
      </c>
      <c r="E39" s="2" t="s">
        <v>82</v>
      </c>
      <c r="F39" s="2" t="s">
        <v>83</v>
      </c>
    </row>
    <row r="40" spans="1:6" x14ac:dyDescent="0.25">
      <c r="A40" s="2" t="s">
        <v>256</v>
      </c>
      <c r="B40" s="2" t="s">
        <v>313</v>
      </c>
      <c r="C40" s="2" t="s">
        <v>73</v>
      </c>
      <c r="D40" s="2" t="s">
        <v>74</v>
      </c>
      <c r="E40" s="2" t="s">
        <v>92</v>
      </c>
      <c r="F40" s="2" t="s">
        <v>174</v>
      </c>
    </row>
    <row r="41" spans="1:6" x14ac:dyDescent="0.25">
      <c r="A41" s="2" t="s">
        <v>321</v>
      </c>
      <c r="B41" s="2" t="s">
        <v>313</v>
      </c>
      <c r="C41" s="2" t="s">
        <v>73</v>
      </c>
      <c r="D41" s="2" t="s">
        <v>74</v>
      </c>
      <c r="E41" s="2" t="s">
        <v>92</v>
      </c>
      <c r="F41" s="2" t="s">
        <v>174</v>
      </c>
    </row>
    <row r="42" spans="1:6" x14ac:dyDescent="0.25">
      <c r="A42" s="2" t="s">
        <v>112</v>
      </c>
      <c r="B42" s="2" t="s">
        <v>313</v>
      </c>
      <c r="C42" s="2" t="s">
        <v>73</v>
      </c>
      <c r="D42" s="2" t="s">
        <v>74</v>
      </c>
      <c r="E42" s="2" t="s">
        <v>92</v>
      </c>
      <c r="F42" s="2" t="s">
        <v>111</v>
      </c>
    </row>
    <row r="43" spans="1:6" x14ac:dyDescent="0.25">
      <c r="A43" s="2" t="s">
        <v>245</v>
      </c>
      <c r="B43" s="2" t="s">
        <v>313</v>
      </c>
      <c r="C43" s="2" t="s">
        <v>73</v>
      </c>
      <c r="D43" s="2" t="s">
        <v>74</v>
      </c>
      <c r="E43" s="2" t="s">
        <v>92</v>
      </c>
      <c r="F43" s="2" t="s">
        <v>174</v>
      </c>
    </row>
    <row r="44" spans="1:6" x14ac:dyDescent="0.25">
      <c r="A44" s="2" t="s">
        <v>194</v>
      </c>
      <c r="B44" s="2" t="s">
        <v>313</v>
      </c>
      <c r="C44" s="2" t="s">
        <v>73</v>
      </c>
      <c r="D44" s="2" t="s">
        <v>74</v>
      </c>
      <c r="E44" s="2" t="s">
        <v>92</v>
      </c>
      <c r="F44" s="2" t="s">
        <v>93</v>
      </c>
    </row>
    <row r="45" spans="1:6" x14ac:dyDescent="0.25">
      <c r="A45" s="2" t="s">
        <v>246</v>
      </c>
      <c r="B45" s="2" t="s">
        <v>313</v>
      </c>
      <c r="C45" s="2" t="s">
        <v>73</v>
      </c>
      <c r="D45" s="2" t="s">
        <v>74</v>
      </c>
      <c r="E45" s="2" t="s">
        <v>92</v>
      </c>
      <c r="F45" s="2" t="s">
        <v>93</v>
      </c>
    </row>
    <row r="46" spans="1:6" x14ac:dyDescent="0.25">
      <c r="A46" s="2" t="s">
        <v>94</v>
      </c>
      <c r="B46" s="2" t="s">
        <v>313</v>
      </c>
      <c r="C46" s="2" t="s">
        <v>73</v>
      </c>
      <c r="D46" s="2" t="s">
        <v>74</v>
      </c>
      <c r="E46" s="2" t="s">
        <v>92</v>
      </c>
      <c r="F46" s="2" t="s">
        <v>93</v>
      </c>
    </row>
    <row r="47" spans="1:6" x14ac:dyDescent="0.25">
      <c r="A47" s="2" t="s">
        <v>244</v>
      </c>
      <c r="B47" s="2" t="s">
        <v>313</v>
      </c>
      <c r="C47" s="2" t="s">
        <v>73</v>
      </c>
      <c r="D47" s="2" t="s">
        <v>74</v>
      </c>
      <c r="E47" s="2" t="s">
        <v>92</v>
      </c>
      <c r="F47" s="2" t="s">
        <v>93</v>
      </c>
    </row>
    <row r="48" spans="1:6" x14ac:dyDescent="0.25">
      <c r="A48" s="2" t="s">
        <v>165</v>
      </c>
      <c r="B48" s="2" t="s">
        <v>313</v>
      </c>
      <c r="C48" s="2" t="s">
        <v>73</v>
      </c>
      <c r="D48" s="2" t="s">
        <v>74</v>
      </c>
      <c r="E48" s="2" t="s">
        <v>75</v>
      </c>
      <c r="F48" s="2" t="s">
        <v>95</v>
      </c>
    </row>
    <row r="49" spans="1:6" x14ac:dyDescent="0.25">
      <c r="A49" s="2" t="s">
        <v>113</v>
      </c>
      <c r="B49" s="2" t="s">
        <v>313</v>
      </c>
      <c r="C49" s="2" t="s">
        <v>73</v>
      </c>
      <c r="D49" s="2" t="s">
        <v>74</v>
      </c>
      <c r="E49" s="2" t="s">
        <v>75</v>
      </c>
      <c r="F49" s="2" t="s">
        <v>95</v>
      </c>
    </row>
    <row r="50" spans="1:6" x14ac:dyDescent="0.25">
      <c r="A50" s="2" t="s">
        <v>140</v>
      </c>
      <c r="B50" s="2" t="s">
        <v>313</v>
      </c>
      <c r="C50" s="2" t="s">
        <v>73</v>
      </c>
      <c r="D50" s="2" t="s">
        <v>74</v>
      </c>
      <c r="E50" s="2" t="s">
        <v>92</v>
      </c>
      <c r="F50" s="2" t="s">
        <v>139</v>
      </c>
    </row>
    <row r="51" spans="1:6" x14ac:dyDescent="0.25">
      <c r="A51" s="2" t="s">
        <v>183</v>
      </c>
      <c r="B51" s="2" t="s">
        <v>313</v>
      </c>
      <c r="C51" s="2" t="s">
        <v>73</v>
      </c>
      <c r="D51" s="2" t="s">
        <v>74</v>
      </c>
      <c r="E51" s="2" t="s">
        <v>92</v>
      </c>
      <c r="F51" s="2" t="s">
        <v>139</v>
      </c>
    </row>
    <row r="52" spans="1:6" x14ac:dyDescent="0.25">
      <c r="A52" s="2" t="s">
        <v>241</v>
      </c>
      <c r="B52" s="2" t="s">
        <v>313</v>
      </c>
      <c r="C52" s="2" t="s">
        <v>73</v>
      </c>
      <c r="D52" s="2" t="s">
        <v>74</v>
      </c>
      <c r="E52" s="2" t="s">
        <v>75</v>
      </c>
      <c r="F52" s="2" t="s">
        <v>108</v>
      </c>
    </row>
    <row r="53" spans="1:6" x14ac:dyDescent="0.25">
      <c r="A53" s="2" t="s">
        <v>237</v>
      </c>
      <c r="B53" s="2" t="s">
        <v>314</v>
      </c>
      <c r="C53" s="2" t="s">
        <v>73</v>
      </c>
      <c r="D53" s="2" t="s">
        <v>74</v>
      </c>
      <c r="E53" s="2" t="s">
        <v>82</v>
      </c>
      <c r="F53" s="2" t="s">
        <v>121</v>
      </c>
    </row>
    <row r="54" spans="1:6" x14ac:dyDescent="0.25">
      <c r="A54" s="2" t="s">
        <v>155</v>
      </c>
      <c r="B54" s="2" t="s">
        <v>313</v>
      </c>
      <c r="C54" s="2" t="s">
        <v>73</v>
      </c>
      <c r="D54" s="2" t="s">
        <v>74</v>
      </c>
      <c r="E54" s="2" t="s">
        <v>92</v>
      </c>
      <c r="F54" s="2" t="s">
        <v>111</v>
      </c>
    </row>
    <row r="55" spans="1:6" x14ac:dyDescent="0.25">
      <c r="A55" s="2" t="s">
        <v>290</v>
      </c>
      <c r="B55" s="2" t="s">
        <v>313</v>
      </c>
      <c r="C55" s="2" t="s">
        <v>73</v>
      </c>
      <c r="D55" s="2" t="s">
        <v>74</v>
      </c>
      <c r="E55" s="2" t="s">
        <v>92</v>
      </c>
      <c r="F55" s="2" t="s">
        <v>98</v>
      </c>
    </row>
    <row r="56" spans="1:6" x14ac:dyDescent="0.25">
      <c r="A56" s="2" t="s">
        <v>242</v>
      </c>
      <c r="B56" s="2" t="s">
        <v>313</v>
      </c>
      <c r="C56" s="2" t="s">
        <v>73</v>
      </c>
      <c r="D56" s="2" t="s">
        <v>74</v>
      </c>
      <c r="E56" s="2" t="s">
        <v>82</v>
      </c>
      <c r="F56" s="2" t="s">
        <v>121</v>
      </c>
    </row>
    <row r="57" spans="1:6" x14ac:dyDescent="0.25">
      <c r="A57" s="2" t="s">
        <v>51</v>
      </c>
      <c r="B57" s="2" t="s">
        <v>313</v>
      </c>
      <c r="C57" s="2" t="s">
        <v>87</v>
      </c>
      <c r="D57" s="2" t="s">
        <v>88</v>
      </c>
      <c r="E57" s="2" t="s">
        <v>89</v>
      </c>
      <c r="F57" s="2" t="s">
        <v>110</v>
      </c>
    </row>
    <row r="58" spans="1:6" x14ac:dyDescent="0.25">
      <c r="A58" s="2" t="s">
        <v>21</v>
      </c>
      <c r="B58" s="2" t="s">
        <v>313</v>
      </c>
      <c r="C58" s="2" t="s">
        <v>87</v>
      </c>
      <c r="D58" s="2" t="s">
        <v>88</v>
      </c>
      <c r="E58" s="2" t="s">
        <v>89</v>
      </c>
      <c r="F58" s="2" t="s">
        <v>110</v>
      </c>
    </row>
    <row r="59" spans="1:6" x14ac:dyDescent="0.25">
      <c r="A59" s="2" t="s">
        <v>322</v>
      </c>
      <c r="B59" s="2" t="s">
        <v>313</v>
      </c>
      <c r="C59" s="2" t="s">
        <v>87</v>
      </c>
      <c r="D59" s="2" t="s">
        <v>88</v>
      </c>
      <c r="E59" s="2" t="s">
        <v>89</v>
      </c>
      <c r="F59" s="2" t="s">
        <v>110</v>
      </c>
    </row>
    <row r="60" spans="1:6" x14ac:dyDescent="0.25">
      <c r="A60" s="2" t="s">
        <v>157</v>
      </c>
      <c r="B60" s="2" t="s">
        <v>313</v>
      </c>
      <c r="C60" s="2" t="s">
        <v>73</v>
      </c>
      <c r="D60" s="2" t="s">
        <v>74</v>
      </c>
      <c r="E60" s="2" t="s">
        <v>92</v>
      </c>
      <c r="F60" s="2" t="s">
        <v>105</v>
      </c>
    </row>
    <row r="61" spans="1:6" x14ac:dyDescent="0.25">
      <c r="A61" s="2" t="s">
        <v>114</v>
      </c>
      <c r="B61" s="2" t="s">
        <v>313</v>
      </c>
      <c r="C61" s="2" t="s">
        <v>87</v>
      </c>
      <c r="D61" s="2" t="s">
        <v>88</v>
      </c>
      <c r="E61" s="2" t="s">
        <v>89</v>
      </c>
      <c r="F61" s="2" t="s">
        <v>110</v>
      </c>
    </row>
    <row r="62" spans="1:6" x14ac:dyDescent="0.25">
      <c r="A62" s="2" t="s">
        <v>44</v>
      </c>
      <c r="B62" s="2" t="s">
        <v>313</v>
      </c>
      <c r="C62" s="2" t="s">
        <v>87</v>
      </c>
      <c r="D62" s="2" t="s">
        <v>88</v>
      </c>
      <c r="E62" s="2" t="s">
        <v>89</v>
      </c>
      <c r="F62" s="2" t="s">
        <v>158</v>
      </c>
    </row>
    <row r="63" spans="1:6" x14ac:dyDescent="0.25">
      <c r="A63" s="2" t="s">
        <v>56</v>
      </c>
      <c r="B63" s="2" t="s">
        <v>313</v>
      </c>
      <c r="C63" s="2" t="s">
        <v>87</v>
      </c>
      <c r="D63" s="2" t="s">
        <v>88</v>
      </c>
      <c r="E63" s="2" t="s">
        <v>89</v>
      </c>
      <c r="F63" s="2" t="s">
        <v>110</v>
      </c>
    </row>
    <row r="64" spans="1:6" x14ac:dyDescent="0.25">
      <c r="A64" s="2" t="s">
        <v>208</v>
      </c>
      <c r="B64" s="2" t="s">
        <v>313</v>
      </c>
      <c r="C64" s="2" t="s">
        <v>87</v>
      </c>
      <c r="D64" s="2" t="s">
        <v>88</v>
      </c>
      <c r="E64" s="2" t="s">
        <v>89</v>
      </c>
      <c r="F64" s="2" t="s">
        <v>110</v>
      </c>
    </row>
    <row r="65" spans="1:6" x14ac:dyDescent="0.25">
      <c r="A65" s="2" t="s">
        <v>58</v>
      </c>
      <c r="B65" s="2" t="s">
        <v>313</v>
      </c>
      <c r="C65" s="2" t="s">
        <v>87</v>
      </c>
      <c r="D65" s="2" t="s">
        <v>88</v>
      </c>
      <c r="E65" s="2" t="s">
        <v>89</v>
      </c>
      <c r="F65" s="2" t="s">
        <v>104</v>
      </c>
    </row>
    <row r="66" spans="1:6" x14ac:dyDescent="0.25">
      <c r="A66" s="2" t="s">
        <v>54</v>
      </c>
      <c r="B66" s="2" t="s">
        <v>313</v>
      </c>
      <c r="C66" s="2" t="s">
        <v>87</v>
      </c>
      <c r="D66" s="2" t="s">
        <v>88</v>
      </c>
      <c r="E66" s="2" t="s">
        <v>89</v>
      </c>
      <c r="F66" s="2" t="s">
        <v>158</v>
      </c>
    </row>
    <row r="67" spans="1:6" x14ac:dyDescent="0.25">
      <c r="A67" s="2" t="s">
        <v>23</v>
      </c>
      <c r="B67" s="2" t="s">
        <v>313</v>
      </c>
      <c r="C67" s="2" t="s">
        <v>87</v>
      </c>
      <c r="D67" s="2" t="s">
        <v>88</v>
      </c>
      <c r="E67" s="2" t="s">
        <v>89</v>
      </c>
      <c r="F67" s="2" t="s">
        <v>158</v>
      </c>
    </row>
    <row r="68" spans="1:6" x14ac:dyDescent="0.25">
      <c r="A68" s="2" t="s">
        <v>57</v>
      </c>
      <c r="B68" s="2" t="s">
        <v>313</v>
      </c>
      <c r="C68" s="2" t="s">
        <v>87</v>
      </c>
      <c r="D68" s="2" t="s">
        <v>88</v>
      </c>
      <c r="E68" s="2" t="s">
        <v>89</v>
      </c>
      <c r="F68" s="2" t="s">
        <v>215</v>
      </c>
    </row>
    <row r="69" spans="1:6" x14ac:dyDescent="0.25">
      <c r="A69" s="2" t="s">
        <v>52</v>
      </c>
      <c r="B69" s="2" t="s">
        <v>313</v>
      </c>
      <c r="C69" s="2" t="s">
        <v>87</v>
      </c>
      <c r="D69" s="2" t="s">
        <v>88</v>
      </c>
      <c r="E69" s="2" t="s">
        <v>89</v>
      </c>
      <c r="F69" s="2" t="s">
        <v>104</v>
      </c>
    </row>
    <row r="70" spans="1:6" x14ac:dyDescent="0.25">
      <c r="A70" s="2" t="s">
        <v>115</v>
      </c>
      <c r="B70" s="2" t="s">
        <v>313</v>
      </c>
      <c r="C70" s="2" t="s">
        <v>87</v>
      </c>
      <c r="D70" s="2" t="s">
        <v>88</v>
      </c>
      <c r="E70" s="2" t="s">
        <v>89</v>
      </c>
      <c r="F70" s="2" t="s">
        <v>104</v>
      </c>
    </row>
    <row r="71" spans="1:6" x14ac:dyDescent="0.25">
      <c r="A71" s="2" t="s">
        <v>46</v>
      </c>
      <c r="B71" s="2" t="s">
        <v>313</v>
      </c>
      <c r="C71" s="2" t="s">
        <v>87</v>
      </c>
      <c r="D71" s="2" t="s">
        <v>88</v>
      </c>
      <c r="E71" s="2" t="s">
        <v>89</v>
      </c>
      <c r="F71" s="2" t="s">
        <v>104</v>
      </c>
    </row>
    <row r="72" spans="1:6" x14ac:dyDescent="0.25">
      <c r="A72" s="2" t="s">
        <v>38</v>
      </c>
      <c r="B72" s="2" t="s">
        <v>313</v>
      </c>
      <c r="C72" s="2" t="s">
        <v>87</v>
      </c>
      <c r="D72" s="2" t="s">
        <v>88</v>
      </c>
      <c r="E72" s="2" t="s">
        <v>89</v>
      </c>
      <c r="F72" s="2" t="s">
        <v>104</v>
      </c>
    </row>
    <row r="73" spans="1:6" x14ac:dyDescent="0.25">
      <c r="A73" s="2" t="s">
        <v>53</v>
      </c>
      <c r="B73" s="2" t="s">
        <v>313</v>
      </c>
      <c r="C73" s="2" t="s">
        <v>100</v>
      </c>
      <c r="D73" s="2" t="s">
        <v>101</v>
      </c>
      <c r="E73" s="2" t="s">
        <v>102</v>
      </c>
      <c r="F73" s="2" t="s">
        <v>276</v>
      </c>
    </row>
    <row r="74" spans="1:6" x14ac:dyDescent="0.25">
      <c r="A74" s="2" t="s">
        <v>18</v>
      </c>
      <c r="B74" s="2" t="s">
        <v>313</v>
      </c>
      <c r="C74" s="2" t="s">
        <v>100</v>
      </c>
      <c r="D74" s="2" t="s">
        <v>101</v>
      </c>
      <c r="E74" s="2" t="s">
        <v>102</v>
      </c>
      <c r="F74" s="2" t="s">
        <v>166</v>
      </c>
    </row>
    <row r="75" spans="1:6" x14ac:dyDescent="0.25">
      <c r="A75" s="2" t="s">
        <v>209</v>
      </c>
      <c r="B75" s="2" t="s">
        <v>313</v>
      </c>
      <c r="C75" s="2" t="s">
        <v>87</v>
      </c>
      <c r="D75" s="2" t="s">
        <v>88</v>
      </c>
      <c r="E75" s="2" t="s">
        <v>89</v>
      </c>
      <c r="F75" s="2" t="s">
        <v>104</v>
      </c>
    </row>
    <row r="76" spans="1:6" x14ac:dyDescent="0.25">
      <c r="A76" s="2" t="s">
        <v>261</v>
      </c>
      <c r="B76" s="2" t="s">
        <v>313</v>
      </c>
      <c r="C76" s="2" t="s">
        <v>87</v>
      </c>
      <c r="D76" s="2" t="s">
        <v>88</v>
      </c>
      <c r="E76" s="2" t="s">
        <v>89</v>
      </c>
      <c r="F76" s="2" t="s">
        <v>110</v>
      </c>
    </row>
    <row r="77" spans="1:6" x14ac:dyDescent="0.25">
      <c r="A77" s="2" t="s">
        <v>61</v>
      </c>
      <c r="B77" s="2" t="s">
        <v>313</v>
      </c>
      <c r="C77" s="2" t="s">
        <v>87</v>
      </c>
      <c r="D77" s="2" t="s">
        <v>88</v>
      </c>
      <c r="E77" s="2" t="s">
        <v>89</v>
      </c>
      <c r="F77" s="2" t="s">
        <v>110</v>
      </c>
    </row>
    <row r="78" spans="1:6" x14ac:dyDescent="0.25">
      <c r="A78" s="2" t="s">
        <v>43</v>
      </c>
      <c r="B78" s="2" t="s">
        <v>313</v>
      </c>
      <c r="C78" s="2" t="s">
        <v>87</v>
      </c>
      <c r="D78" s="2" t="s">
        <v>88</v>
      </c>
      <c r="E78" s="2" t="s">
        <v>89</v>
      </c>
      <c r="F78" s="2" t="s">
        <v>104</v>
      </c>
    </row>
    <row r="79" spans="1:6" x14ac:dyDescent="0.25">
      <c r="A79" s="2" t="s">
        <v>55</v>
      </c>
      <c r="B79" s="2" t="s">
        <v>313</v>
      </c>
      <c r="C79" s="2" t="s">
        <v>87</v>
      </c>
      <c r="D79" s="2" t="s">
        <v>88</v>
      </c>
      <c r="E79" s="2" t="s">
        <v>89</v>
      </c>
      <c r="F79" s="2" t="s">
        <v>104</v>
      </c>
    </row>
    <row r="80" spans="1:6" x14ac:dyDescent="0.25">
      <c r="A80" s="2" t="s">
        <v>201</v>
      </c>
      <c r="B80" s="2" t="s">
        <v>314</v>
      </c>
      <c r="C80" s="2" t="s">
        <v>100</v>
      </c>
      <c r="D80" s="2" t="s">
        <v>101</v>
      </c>
      <c r="E80" s="2" t="s">
        <v>102</v>
      </c>
      <c r="F80" s="2" t="s">
        <v>118</v>
      </c>
    </row>
    <row r="81" spans="1:6" x14ac:dyDescent="0.25">
      <c r="A81" s="2" t="s">
        <v>119</v>
      </c>
      <c r="B81" s="2" t="s">
        <v>314</v>
      </c>
      <c r="C81" s="2" t="s">
        <v>100</v>
      </c>
      <c r="D81" s="2" t="s">
        <v>101</v>
      </c>
      <c r="E81" s="2" t="s">
        <v>102</v>
      </c>
      <c r="F81" s="2" t="s">
        <v>118</v>
      </c>
    </row>
    <row r="82" spans="1:6" x14ac:dyDescent="0.25">
      <c r="A82" s="2" t="s">
        <v>131</v>
      </c>
      <c r="B82" s="2" t="s">
        <v>313</v>
      </c>
      <c r="C82" s="2" t="s">
        <v>73</v>
      </c>
      <c r="D82" s="2" t="s">
        <v>74</v>
      </c>
      <c r="E82" s="2" t="s">
        <v>82</v>
      </c>
      <c r="F82" s="2" t="s">
        <v>121</v>
      </c>
    </row>
    <row r="83" spans="1:6" x14ac:dyDescent="0.25">
      <c r="A83" s="2" t="s">
        <v>251</v>
      </c>
      <c r="B83" s="2" t="s">
        <v>313</v>
      </c>
      <c r="C83" s="2" t="s">
        <v>73</v>
      </c>
      <c r="D83" s="2" t="s">
        <v>74</v>
      </c>
      <c r="E83" s="2" t="s">
        <v>82</v>
      </c>
      <c r="F83" s="2" t="s">
        <v>121</v>
      </c>
    </row>
    <row r="84" spans="1:6" x14ac:dyDescent="0.25">
      <c r="A84" s="2" t="s">
        <v>136</v>
      </c>
      <c r="B84" s="2" t="s">
        <v>313</v>
      </c>
      <c r="C84" s="2" t="s">
        <v>73</v>
      </c>
      <c r="D84" s="2" t="s">
        <v>74</v>
      </c>
      <c r="E84" s="2" t="s">
        <v>82</v>
      </c>
      <c r="F84" s="2" t="s">
        <v>121</v>
      </c>
    </row>
    <row r="85" spans="1:6" x14ac:dyDescent="0.25">
      <c r="A85" s="2" t="s">
        <v>107</v>
      </c>
      <c r="B85" s="2" t="s">
        <v>313</v>
      </c>
      <c r="C85" s="2" t="s">
        <v>73</v>
      </c>
      <c r="D85" s="2" t="s">
        <v>74</v>
      </c>
      <c r="E85" s="2" t="s">
        <v>92</v>
      </c>
      <c r="F85" s="2" t="s">
        <v>98</v>
      </c>
    </row>
    <row r="86" spans="1:6" x14ac:dyDescent="0.25">
      <c r="A86" s="2" t="s">
        <v>151</v>
      </c>
      <c r="B86" s="2" t="s">
        <v>313</v>
      </c>
      <c r="C86" s="2" t="s">
        <v>73</v>
      </c>
      <c r="D86" s="2" t="s">
        <v>74</v>
      </c>
      <c r="E86" s="2" t="s">
        <v>82</v>
      </c>
      <c r="F86" s="2" t="s">
        <v>121</v>
      </c>
    </row>
    <row r="87" spans="1:6" x14ac:dyDescent="0.25">
      <c r="A87" s="2" t="s">
        <v>133</v>
      </c>
      <c r="B87" s="2" t="s">
        <v>313</v>
      </c>
      <c r="C87" s="2" t="s">
        <v>73</v>
      </c>
      <c r="D87" s="2" t="s">
        <v>74</v>
      </c>
      <c r="E87" s="2" t="s">
        <v>82</v>
      </c>
      <c r="F87" s="2" t="s">
        <v>121</v>
      </c>
    </row>
    <row r="88" spans="1:6" x14ac:dyDescent="0.25">
      <c r="A88" s="2" t="s">
        <v>247</v>
      </c>
      <c r="B88" s="2" t="s">
        <v>313</v>
      </c>
      <c r="C88" s="2" t="s">
        <v>100</v>
      </c>
      <c r="D88" s="2" t="s">
        <v>101</v>
      </c>
      <c r="E88" s="2" t="s">
        <v>102</v>
      </c>
      <c r="F88" s="2" t="s">
        <v>103</v>
      </c>
    </row>
    <row r="89" spans="1:6" x14ac:dyDescent="0.25">
      <c r="A89" s="2" t="s">
        <v>323</v>
      </c>
      <c r="B89" s="2" t="s">
        <v>313</v>
      </c>
      <c r="C89" s="2" t="s">
        <v>100</v>
      </c>
      <c r="D89" s="2" t="s">
        <v>101</v>
      </c>
      <c r="E89" s="2" t="s">
        <v>102</v>
      </c>
      <c r="F89" s="2" t="s">
        <v>103</v>
      </c>
    </row>
    <row r="90" spans="1:6" x14ac:dyDescent="0.25">
      <c r="A90" s="2" t="s">
        <v>12</v>
      </c>
      <c r="B90" s="2" t="s">
        <v>313</v>
      </c>
      <c r="C90" s="2" t="s">
        <v>100</v>
      </c>
      <c r="D90" s="2" t="s">
        <v>101</v>
      </c>
      <c r="E90" s="2" t="s">
        <v>102</v>
      </c>
      <c r="F90" s="2" t="s">
        <v>103</v>
      </c>
    </row>
    <row r="91" spans="1:6" x14ac:dyDescent="0.25">
      <c r="A91" s="2" t="s">
        <v>223</v>
      </c>
      <c r="B91" s="2" t="s">
        <v>313</v>
      </c>
      <c r="C91" s="2" t="s">
        <v>100</v>
      </c>
      <c r="D91" s="2" t="s">
        <v>101</v>
      </c>
      <c r="E91" s="2" t="s">
        <v>102</v>
      </c>
      <c r="F91" s="2" t="s">
        <v>103</v>
      </c>
    </row>
    <row r="92" spans="1:6" x14ac:dyDescent="0.25">
      <c r="A92" s="2" t="s">
        <v>13</v>
      </c>
      <c r="B92" s="2" t="s">
        <v>313</v>
      </c>
      <c r="C92" s="2" t="s">
        <v>100</v>
      </c>
      <c r="D92" s="2" t="s">
        <v>101</v>
      </c>
      <c r="E92" s="2" t="s">
        <v>102</v>
      </c>
      <c r="F92" s="2" t="s">
        <v>103</v>
      </c>
    </row>
    <row r="93" spans="1:6" x14ac:dyDescent="0.25">
      <c r="A93" s="2" t="s">
        <v>196</v>
      </c>
      <c r="B93" s="2" t="s">
        <v>313</v>
      </c>
      <c r="C93" s="2" t="s">
        <v>100</v>
      </c>
      <c r="D93" s="2" t="s">
        <v>101</v>
      </c>
      <c r="E93" s="2" t="s">
        <v>102</v>
      </c>
      <c r="F93" s="2" t="s">
        <v>195</v>
      </c>
    </row>
    <row r="94" spans="1:6" x14ac:dyDescent="0.25">
      <c r="A94" s="2" t="s">
        <v>289</v>
      </c>
      <c r="B94" s="2" t="s">
        <v>314</v>
      </c>
      <c r="C94" s="2" t="s">
        <v>100</v>
      </c>
      <c r="D94" s="2" t="s">
        <v>101</v>
      </c>
      <c r="E94" s="2" t="s">
        <v>102</v>
      </c>
      <c r="F94" s="2" t="s">
        <v>288</v>
      </c>
    </row>
    <row r="95" spans="1:6" x14ac:dyDescent="0.25">
      <c r="A95" s="2" t="s">
        <v>7</v>
      </c>
      <c r="B95" s="2" t="s">
        <v>313</v>
      </c>
      <c r="C95" s="2" t="s">
        <v>100</v>
      </c>
      <c r="D95" s="2" t="s">
        <v>101</v>
      </c>
      <c r="E95" s="2" t="s">
        <v>102</v>
      </c>
      <c r="F95" s="2" t="s">
        <v>103</v>
      </c>
    </row>
    <row r="96" spans="1:6" x14ac:dyDescent="0.25">
      <c r="A96" s="2" t="s">
        <v>8</v>
      </c>
      <c r="B96" s="2" t="s">
        <v>313</v>
      </c>
      <c r="C96" s="2" t="s">
        <v>100</v>
      </c>
      <c r="D96" s="2" t="s">
        <v>101</v>
      </c>
      <c r="E96" s="2" t="s">
        <v>102</v>
      </c>
      <c r="F96" s="2" t="s">
        <v>103</v>
      </c>
    </row>
    <row r="97" spans="1:6" x14ac:dyDescent="0.25">
      <c r="A97" s="2" t="s">
        <v>33</v>
      </c>
      <c r="B97" s="2" t="s">
        <v>313</v>
      </c>
      <c r="C97" s="2" t="s">
        <v>100</v>
      </c>
      <c r="D97" s="2" t="s">
        <v>101</v>
      </c>
      <c r="E97" s="2" t="s">
        <v>102</v>
      </c>
      <c r="F97" s="2" t="s">
        <v>103</v>
      </c>
    </row>
    <row r="98" spans="1:6" x14ac:dyDescent="0.25">
      <c r="A98" s="2" t="s">
        <v>9</v>
      </c>
      <c r="B98" s="2" t="s">
        <v>313</v>
      </c>
      <c r="C98" s="2" t="s">
        <v>100</v>
      </c>
      <c r="D98" s="2" t="s">
        <v>101</v>
      </c>
      <c r="E98" s="2" t="s">
        <v>102</v>
      </c>
      <c r="F98" s="2" t="s">
        <v>103</v>
      </c>
    </row>
    <row r="99" spans="1:6" x14ac:dyDescent="0.25">
      <c r="A99" s="2" t="s">
        <v>263</v>
      </c>
      <c r="B99" s="2" t="s">
        <v>313</v>
      </c>
      <c r="C99" s="2" t="s">
        <v>100</v>
      </c>
      <c r="D99" s="2" t="s">
        <v>101</v>
      </c>
      <c r="E99" s="2" t="s">
        <v>102</v>
      </c>
      <c r="F99" s="2" t="s">
        <v>166</v>
      </c>
    </row>
    <row r="100" spans="1:6" x14ac:dyDescent="0.25">
      <c r="A100" s="2" t="s">
        <v>200</v>
      </c>
      <c r="B100" s="2" t="s">
        <v>313</v>
      </c>
      <c r="C100" s="2" t="s">
        <v>100</v>
      </c>
      <c r="D100" s="2" t="s">
        <v>101</v>
      </c>
      <c r="E100" s="2" t="s">
        <v>102</v>
      </c>
      <c r="F100" s="2" t="s">
        <v>170</v>
      </c>
    </row>
    <row r="101" spans="1:6" x14ac:dyDescent="0.25">
      <c r="A101" s="2" t="s">
        <v>16</v>
      </c>
      <c r="B101" s="2" t="s">
        <v>313</v>
      </c>
      <c r="C101" s="2" t="s">
        <v>100</v>
      </c>
      <c r="D101" s="2" t="s">
        <v>101</v>
      </c>
      <c r="E101" s="2" t="s">
        <v>102</v>
      </c>
      <c r="F101" s="2" t="s">
        <v>118</v>
      </c>
    </row>
    <row r="102" spans="1:6" x14ac:dyDescent="0.25">
      <c r="A102" s="2" t="s">
        <v>216</v>
      </c>
      <c r="B102" s="2" t="s">
        <v>313</v>
      </c>
      <c r="C102" s="2" t="s">
        <v>100</v>
      </c>
      <c r="D102" s="2" t="s">
        <v>101</v>
      </c>
      <c r="E102" s="2" t="s">
        <v>102</v>
      </c>
      <c r="F102" s="2" t="s">
        <v>118</v>
      </c>
    </row>
    <row r="103" spans="1:6" x14ac:dyDescent="0.25">
      <c r="A103" s="2" t="s">
        <v>228</v>
      </c>
      <c r="B103" s="2" t="s">
        <v>313</v>
      </c>
      <c r="C103" s="2" t="s">
        <v>100</v>
      </c>
      <c r="D103" s="2" t="s">
        <v>101</v>
      </c>
      <c r="E103" s="2" t="s">
        <v>102</v>
      </c>
      <c r="F103" s="2" t="s">
        <v>170</v>
      </c>
    </row>
    <row r="104" spans="1:6" x14ac:dyDescent="0.25">
      <c r="A104" s="2" t="s">
        <v>278</v>
      </c>
      <c r="B104" s="2" t="s">
        <v>314</v>
      </c>
      <c r="C104" s="2" t="s">
        <v>100</v>
      </c>
      <c r="D104" s="2" t="s">
        <v>101</v>
      </c>
      <c r="E104" s="2" t="s">
        <v>102</v>
      </c>
      <c r="F104" s="2" t="s">
        <v>170</v>
      </c>
    </row>
    <row r="105" spans="1:6" x14ac:dyDescent="0.25">
      <c r="A105" s="2" t="s">
        <v>184</v>
      </c>
      <c r="B105" s="2" t="s">
        <v>314</v>
      </c>
      <c r="C105" s="2" t="s">
        <v>100</v>
      </c>
      <c r="D105" s="2" t="s">
        <v>101</v>
      </c>
      <c r="E105" s="2" t="s">
        <v>102</v>
      </c>
      <c r="F105" s="2" t="s">
        <v>170</v>
      </c>
    </row>
    <row r="106" spans="1:6" x14ac:dyDescent="0.25">
      <c r="A106" s="2" t="s">
        <v>15</v>
      </c>
      <c r="B106" s="2" t="s">
        <v>313</v>
      </c>
      <c r="C106" s="2" t="s">
        <v>100</v>
      </c>
      <c r="D106" s="2" t="s">
        <v>101</v>
      </c>
      <c r="E106" s="2" t="s">
        <v>102</v>
      </c>
      <c r="F106" s="2" t="s">
        <v>118</v>
      </c>
    </row>
    <row r="107" spans="1:6" x14ac:dyDescent="0.25">
      <c r="A107" s="2" t="s">
        <v>10</v>
      </c>
      <c r="B107" s="2" t="s">
        <v>313</v>
      </c>
      <c r="C107" s="2" t="s">
        <v>100</v>
      </c>
      <c r="D107" s="2" t="s">
        <v>101</v>
      </c>
      <c r="E107" s="2" t="s">
        <v>102</v>
      </c>
      <c r="F107" s="2" t="s">
        <v>118</v>
      </c>
    </row>
    <row r="108" spans="1:6" x14ac:dyDescent="0.25">
      <c r="A108" s="2" t="s">
        <v>324</v>
      </c>
      <c r="B108" s="2" t="s">
        <v>313</v>
      </c>
      <c r="C108" s="2" t="s">
        <v>100</v>
      </c>
      <c r="D108" s="2" t="s">
        <v>101</v>
      </c>
      <c r="E108" s="2" t="s">
        <v>102</v>
      </c>
      <c r="F108" s="2" t="s">
        <v>166</v>
      </c>
    </row>
    <row r="109" spans="1:6" x14ac:dyDescent="0.25">
      <c r="A109" s="2" t="s">
        <v>319</v>
      </c>
      <c r="B109" s="2" t="s">
        <v>314</v>
      </c>
      <c r="C109" s="2" t="s">
        <v>100</v>
      </c>
      <c r="D109" s="2" t="s">
        <v>101</v>
      </c>
      <c r="E109" s="2" t="s">
        <v>102</v>
      </c>
      <c r="F109" s="2" t="s">
        <v>166</v>
      </c>
    </row>
    <row r="110" spans="1:6" x14ac:dyDescent="0.25">
      <c r="A110" s="2" t="s">
        <v>20</v>
      </c>
      <c r="B110" s="2" t="s">
        <v>313</v>
      </c>
      <c r="C110" s="2" t="s">
        <v>100</v>
      </c>
      <c r="D110" s="2" t="s">
        <v>101</v>
      </c>
      <c r="E110" s="2" t="s">
        <v>102</v>
      </c>
      <c r="F110" s="2" t="s">
        <v>166</v>
      </c>
    </row>
    <row r="111" spans="1:6" x14ac:dyDescent="0.25">
      <c r="A111" s="2" t="s">
        <v>279</v>
      </c>
      <c r="B111" s="2" t="s">
        <v>314</v>
      </c>
      <c r="C111" s="2" t="s">
        <v>100</v>
      </c>
      <c r="D111" s="2" t="s">
        <v>101</v>
      </c>
      <c r="E111" s="2" t="s">
        <v>102</v>
      </c>
      <c r="F111" s="2" t="s">
        <v>166</v>
      </c>
    </row>
    <row r="112" spans="1:6" x14ac:dyDescent="0.25">
      <c r="A112" s="2" t="s">
        <v>188</v>
      </c>
      <c r="B112" s="2" t="s">
        <v>314</v>
      </c>
      <c r="C112" s="2" t="s">
        <v>100</v>
      </c>
      <c r="D112" s="2" t="s">
        <v>101</v>
      </c>
      <c r="E112" s="2" t="s">
        <v>102</v>
      </c>
      <c r="F112" s="2" t="s">
        <v>166</v>
      </c>
    </row>
    <row r="113" spans="1:6" x14ac:dyDescent="0.25">
      <c r="A113" s="2" t="s">
        <v>180</v>
      </c>
      <c r="B113" s="2" t="s">
        <v>313</v>
      </c>
      <c r="C113" s="2" t="s">
        <v>73</v>
      </c>
      <c r="D113" s="2" t="s">
        <v>74</v>
      </c>
      <c r="E113" s="2" t="s">
        <v>82</v>
      </c>
      <c r="F113" s="2" t="s">
        <v>85</v>
      </c>
    </row>
    <row r="114" spans="1:6" x14ac:dyDescent="0.25">
      <c r="A114" s="2" t="s">
        <v>264</v>
      </c>
      <c r="B114" s="2" t="s">
        <v>313</v>
      </c>
      <c r="C114" s="2" t="s">
        <v>73</v>
      </c>
      <c r="D114" s="2" t="s">
        <v>74</v>
      </c>
      <c r="E114" s="2" t="s">
        <v>82</v>
      </c>
      <c r="F114" s="2" t="s">
        <v>85</v>
      </c>
    </row>
    <row r="115" spans="1:6" x14ac:dyDescent="0.25">
      <c r="A115" s="2" t="s">
        <v>14</v>
      </c>
      <c r="B115" s="2" t="s">
        <v>313</v>
      </c>
      <c r="C115" s="2" t="s">
        <v>87</v>
      </c>
      <c r="D115" s="2" t="s">
        <v>88</v>
      </c>
      <c r="E115" s="2" t="s">
        <v>89</v>
      </c>
      <c r="F115" s="2" t="s">
        <v>110</v>
      </c>
    </row>
    <row r="116" spans="1:6" x14ac:dyDescent="0.25">
      <c r="A116" s="2" t="s">
        <v>11</v>
      </c>
      <c r="B116" s="2" t="s">
        <v>313</v>
      </c>
      <c r="C116" s="2" t="s">
        <v>87</v>
      </c>
      <c r="D116" s="2" t="s">
        <v>88</v>
      </c>
      <c r="E116" s="2" t="s">
        <v>89</v>
      </c>
      <c r="F116" s="2" t="s">
        <v>104</v>
      </c>
    </row>
    <row r="117" spans="1:6" x14ac:dyDescent="0.25">
      <c r="A117" s="2" t="s">
        <v>35</v>
      </c>
      <c r="B117" s="2" t="s">
        <v>313</v>
      </c>
      <c r="C117" s="2" t="s">
        <v>87</v>
      </c>
      <c r="D117" s="2" t="s">
        <v>88</v>
      </c>
      <c r="E117" s="2" t="s">
        <v>89</v>
      </c>
      <c r="F117" s="2" t="s">
        <v>158</v>
      </c>
    </row>
    <row r="118" spans="1:6" x14ac:dyDescent="0.25">
      <c r="A118" s="2" t="s">
        <v>19</v>
      </c>
      <c r="B118" s="2" t="s">
        <v>313</v>
      </c>
      <c r="C118" s="2" t="s">
        <v>87</v>
      </c>
      <c r="D118" s="2" t="s">
        <v>88</v>
      </c>
      <c r="E118" s="2" t="s">
        <v>89</v>
      </c>
      <c r="F118" s="2" t="s">
        <v>104</v>
      </c>
    </row>
    <row r="119" spans="1:6" x14ac:dyDescent="0.25">
      <c r="A119" s="2" t="s">
        <v>357</v>
      </c>
      <c r="B119" s="2" t="s">
        <v>313</v>
      </c>
      <c r="C119" s="2" t="s">
        <v>87</v>
      </c>
      <c r="D119" s="2" t="s">
        <v>88</v>
      </c>
      <c r="E119" s="2" t="s">
        <v>89</v>
      </c>
      <c r="F119" s="2" t="s">
        <v>104</v>
      </c>
    </row>
    <row r="120" spans="1:6" x14ac:dyDescent="0.25">
      <c r="A120" s="2" t="s">
        <v>266</v>
      </c>
      <c r="B120" s="2" t="s">
        <v>313</v>
      </c>
      <c r="C120" s="2" t="s">
        <v>73</v>
      </c>
      <c r="D120" s="2" t="s">
        <v>74</v>
      </c>
      <c r="E120" s="2" t="s">
        <v>92</v>
      </c>
      <c r="F120" s="2" t="s">
        <v>93</v>
      </c>
    </row>
    <row r="121" spans="1:6" x14ac:dyDescent="0.25">
      <c r="A121" s="2" t="s">
        <v>198</v>
      </c>
      <c r="B121" s="2" t="s">
        <v>313</v>
      </c>
      <c r="C121" s="2" t="s">
        <v>73</v>
      </c>
      <c r="D121" s="2" t="s">
        <v>74</v>
      </c>
      <c r="E121" s="2" t="s">
        <v>92</v>
      </c>
      <c r="F121" s="2" t="s">
        <v>139</v>
      </c>
    </row>
    <row r="122" spans="1:6" x14ac:dyDescent="0.25">
      <c r="A122" s="2" t="s">
        <v>120</v>
      </c>
      <c r="B122" s="2" t="s">
        <v>313</v>
      </c>
      <c r="C122" s="2" t="s">
        <v>73</v>
      </c>
      <c r="D122" s="2" t="s">
        <v>74</v>
      </c>
      <c r="E122" s="2" t="s">
        <v>82</v>
      </c>
      <c r="F122" s="2" t="s">
        <v>83</v>
      </c>
    </row>
    <row r="123" spans="1:6" x14ac:dyDescent="0.25">
      <c r="A123" s="2" t="s">
        <v>358</v>
      </c>
      <c r="B123" s="2" t="s">
        <v>313</v>
      </c>
      <c r="C123" s="2" t="s">
        <v>100</v>
      </c>
      <c r="D123" s="2" t="s">
        <v>101</v>
      </c>
      <c r="E123" s="2" t="s">
        <v>102</v>
      </c>
      <c r="F123" s="2" t="s">
        <v>116</v>
      </c>
    </row>
    <row r="124" spans="1:6" x14ac:dyDescent="0.25">
      <c r="A124" s="2" t="s">
        <v>191</v>
      </c>
      <c r="B124" s="2" t="s">
        <v>313</v>
      </c>
      <c r="C124" s="2" t="s">
        <v>73</v>
      </c>
      <c r="D124" s="2" t="s">
        <v>101</v>
      </c>
      <c r="E124" s="2" t="s">
        <v>102</v>
      </c>
      <c r="F124" s="2" t="s">
        <v>116</v>
      </c>
    </row>
    <row r="125" spans="1:6" x14ac:dyDescent="0.25">
      <c r="A125" s="2" t="s">
        <v>24</v>
      </c>
      <c r="B125" s="2" t="s">
        <v>313</v>
      </c>
      <c r="C125" s="2" t="s">
        <v>73</v>
      </c>
      <c r="D125" s="2" t="s">
        <v>101</v>
      </c>
      <c r="E125" s="2" t="s">
        <v>102</v>
      </c>
      <c r="F125" s="2" t="s">
        <v>143</v>
      </c>
    </row>
    <row r="126" spans="1:6" x14ac:dyDescent="0.25">
      <c r="A126" s="2" t="s">
        <v>233</v>
      </c>
      <c r="B126" s="2" t="s">
        <v>313</v>
      </c>
      <c r="C126" s="2" t="s">
        <v>73</v>
      </c>
      <c r="D126" s="2" t="s">
        <v>101</v>
      </c>
      <c r="E126" s="2" t="s">
        <v>102</v>
      </c>
      <c r="F126" s="2" t="s">
        <v>143</v>
      </c>
    </row>
    <row r="127" spans="1:6" x14ac:dyDescent="0.25">
      <c r="A127" s="2" t="s">
        <v>359</v>
      </c>
      <c r="B127" s="2" t="s">
        <v>314</v>
      </c>
      <c r="C127" s="2" t="s">
        <v>73</v>
      </c>
      <c r="D127" s="2" t="s">
        <v>101</v>
      </c>
      <c r="E127" s="2" t="s">
        <v>102</v>
      </c>
      <c r="F127" s="2" t="s">
        <v>143</v>
      </c>
    </row>
    <row r="128" spans="1:6" x14ac:dyDescent="0.25">
      <c r="A128" s="2" t="s">
        <v>360</v>
      </c>
      <c r="B128" s="2" t="s">
        <v>314</v>
      </c>
      <c r="C128" s="2" t="s">
        <v>73</v>
      </c>
      <c r="D128" s="2" t="s">
        <v>74</v>
      </c>
      <c r="E128" s="2" t="s">
        <v>82</v>
      </c>
      <c r="F128" s="2" t="s">
        <v>83</v>
      </c>
    </row>
    <row r="129" spans="1:6" x14ac:dyDescent="0.25">
      <c r="A129" s="2" t="s">
        <v>31</v>
      </c>
      <c r="B129" s="2" t="s">
        <v>313</v>
      </c>
      <c r="C129" s="2" t="s">
        <v>87</v>
      </c>
      <c r="D129" s="2" t="s">
        <v>88</v>
      </c>
      <c r="E129" s="2" t="s">
        <v>89</v>
      </c>
      <c r="F129" s="2" t="s">
        <v>271</v>
      </c>
    </row>
    <row r="130" spans="1:6" x14ac:dyDescent="0.25">
      <c r="A130" s="2" t="s">
        <v>25</v>
      </c>
      <c r="B130" s="2" t="s">
        <v>313</v>
      </c>
      <c r="C130" s="2" t="s">
        <v>87</v>
      </c>
      <c r="D130" s="2" t="s">
        <v>88</v>
      </c>
      <c r="E130" s="2" t="s">
        <v>89</v>
      </c>
      <c r="F130" s="2" t="s">
        <v>104</v>
      </c>
    </row>
    <row r="131" spans="1:6" x14ac:dyDescent="0.25">
      <c r="A131" s="2" t="s">
        <v>280</v>
      </c>
      <c r="B131" s="2" t="s">
        <v>314</v>
      </c>
      <c r="C131" s="2" t="s">
        <v>100</v>
      </c>
      <c r="D131" s="2" t="s">
        <v>101</v>
      </c>
      <c r="E131" s="2" t="s">
        <v>102</v>
      </c>
      <c r="F131" s="2" t="s">
        <v>170</v>
      </c>
    </row>
    <row r="132" spans="1:6" x14ac:dyDescent="0.25">
      <c r="A132" s="2" t="s">
        <v>361</v>
      </c>
      <c r="B132" s="2" t="s">
        <v>314</v>
      </c>
      <c r="C132" s="2" t="s">
        <v>73</v>
      </c>
      <c r="D132" s="2" t="s">
        <v>74</v>
      </c>
      <c r="E132" s="2" t="s">
        <v>82</v>
      </c>
      <c r="F132" s="2" t="s">
        <v>83</v>
      </c>
    </row>
    <row r="133" spans="1:6" x14ac:dyDescent="0.25">
      <c r="A133" s="2" t="s">
        <v>311</v>
      </c>
      <c r="B133" s="2" t="s">
        <v>314</v>
      </c>
      <c r="C133" s="2" t="s">
        <v>73</v>
      </c>
      <c r="D133" s="2" t="s">
        <v>74</v>
      </c>
      <c r="E133" s="2" t="s">
        <v>82</v>
      </c>
      <c r="F133" s="2" t="s">
        <v>83</v>
      </c>
    </row>
    <row r="134" spans="1:6" x14ac:dyDescent="0.25">
      <c r="A134" s="2" t="s">
        <v>291</v>
      </c>
      <c r="B134" s="2" t="s">
        <v>314</v>
      </c>
      <c r="C134" s="2" t="s">
        <v>73</v>
      </c>
      <c r="D134" s="2" t="s">
        <v>101</v>
      </c>
      <c r="E134" s="2" t="s">
        <v>102</v>
      </c>
      <c r="F134" s="2" t="s">
        <v>143</v>
      </c>
    </row>
    <row r="135" spans="1:6" x14ac:dyDescent="0.25">
      <c r="A135" s="2" t="s">
        <v>282</v>
      </c>
      <c r="B135" s="2" t="s">
        <v>314</v>
      </c>
      <c r="C135" s="2" t="s">
        <v>73</v>
      </c>
      <c r="D135" s="2" t="s">
        <v>101</v>
      </c>
      <c r="E135" s="2" t="s">
        <v>102</v>
      </c>
      <c r="F135" s="2" t="s">
        <v>143</v>
      </c>
    </row>
    <row r="136" spans="1:6" x14ac:dyDescent="0.25">
      <c r="A136" s="2" t="s">
        <v>283</v>
      </c>
      <c r="B136" s="2" t="s">
        <v>314</v>
      </c>
      <c r="C136" s="2" t="s">
        <v>73</v>
      </c>
      <c r="D136" s="2" t="s">
        <v>101</v>
      </c>
      <c r="E136" s="2" t="s">
        <v>102</v>
      </c>
      <c r="F136" s="2" t="s">
        <v>116</v>
      </c>
    </row>
    <row r="137" spans="1:6" x14ac:dyDescent="0.25">
      <c r="A137" s="2" t="s">
        <v>217</v>
      </c>
      <c r="B137" s="2" t="s">
        <v>314</v>
      </c>
      <c r="C137" s="2" t="s">
        <v>100</v>
      </c>
      <c r="D137" s="2" t="s">
        <v>101</v>
      </c>
      <c r="E137" s="2" t="s">
        <v>102</v>
      </c>
      <c r="F137" s="2" t="s">
        <v>166</v>
      </c>
    </row>
    <row r="138" spans="1:6" x14ac:dyDescent="0.25">
      <c r="A138" s="2" t="s">
        <v>362</v>
      </c>
      <c r="B138" s="2" t="s">
        <v>314</v>
      </c>
      <c r="C138" s="2" t="s">
        <v>73</v>
      </c>
      <c r="D138" s="2" t="s">
        <v>74</v>
      </c>
      <c r="E138" s="2" t="s">
        <v>82</v>
      </c>
      <c r="F138" s="2" t="s">
        <v>83</v>
      </c>
    </row>
    <row r="139" spans="1:6" x14ac:dyDescent="0.25">
      <c r="A139" s="2" t="s">
        <v>252</v>
      </c>
      <c r="B139" s="2" t="s">
        <v>313</v>
      </c>
      <c r="C139" s="2" t="s">
        <v>87</v>
      </c>
      <c r="D139" s="2" t="s">
        <v>88</v>
      </c>
      <c r="E139" s="2" t="s">
        <v>89</v>
      </c>
      <c r="F139" s="2" t="s">
        <v>90</v>
      </c>
    </row>
    <row r="140" spans="1:6" x14ac:dyDescent="0.25">
      <c r="A140" s="2" t="s">
        <v>293</v>
      </c>
      <c r="B140" s="2" t="s">
        <v>314</v>
      </c>
      <c r="C140" s="2" t="s">
        <v>73</v>
      </c>
      <c r="D140" s="2" t="s">
        <v>101</v>
      </c>
      <c r="E140" s="2" t="s">
        <v>102</v>
      </c>
      <c r="F140" s="2" t="s">
        <v>143</v>
      </c>
    </row>
    <row r="141" spans="1:6" x14ac:dyDescent="0.25">
      <c r="A141" s="2" t="s">
        <v>91</v>
      </c>
      <c r="B141" s="2" t="s">
        <v>313</v>
      </c>
      <c r="C141" s="2" t="s">
        <v>87</v>
      </c>
      <c r="D141" s="2" t="s">
        <v>88</v>
      </c>
      <c r="E141" s="2" t="s">
        <v>89</v>
      </c>
      <c r="F141" s="2" t="s">
        <v>90</v>
      </c>
    </row>
    <row r="142" spans="1:6" x14ac:dyDescent="0.25">
      <c r="A142" s="2" t="s">
        <v>363</v>
      </c>
      <c r="B142" s="2" t="s">
        <v>314</v>
      </c>
      <c r="C142" s="2" t="s">
        <v>73</v>
      </c>
      <c r="D142" s="2" t="s">
        <v>74</v>
      </c>
      <c r="E142" s="2" t="s">
        <v>82</v>
      </c>
      <c r="F142" s="2" t="s">
        <v>83</v>
      </c>
    </row>
    <row r="143" spans="1:6" x14ac:dyDescent="0.25">
      <c r="A143" s="2" t="s">
        <v>364</v>
      </c>
      <c r="B143" s="2" t="s">
        <v>314</v>
      </c>
      <c r="C143" s="2" t="s">
        <v>73</v>
      </c>
      <c r="D143" s="2" t="s">
        <v>74</v>
      </c>
      <c r="E143" s="2" t="s">
        <v>82</v>
      </c>
      <c r="F143" s="2" t="s">
        <v>83</v>
      </c>
    </row>
    <row r="144" spans="1:6" x14ac:dyDescent="0.25">
      <c r="A144" s="2" t="s">
        <v>173</v>
      </c>
      <c r="B144" s="2" t="s">
        <v>313</v>
      </c>
      <c r="C144" s="2" t="s">
        <v>73</v>
      </c>
      <c r="D144" s="2" t="s">
        <v>74</v>
      </c>
      <c r="E144" s="2" t="s">
        <v>82</v>
      </c>
      <c r="F144" s="2" t="s">
        <v>83</v>
      </c>
    </row>
    <row r="145" spans="1:6" x14ac:dyDescent="0.25">
      <c r="A145" s="2" t="s">
        <v>122</v>
      </c>
      <c r="B145" s="2" t="s">
        <v>313</v>
      </c>
      <c r="C145" s="2" t="s">
        <v>73</v>
      </c>
      <c r="D145" s="2" t="s">
        <v>74</v>
      </c>
      <c r="E145" s="2" t="s">
        <v>82</v>
      </c>
      <c r="F145" s="2" t="s">
        <v>121</v>
      </c>
    </row>
    <row r="146" spans="1:6" x14ac:dyDescent="0.25">
      <c r="A146" s="2" t="s">
        <v>167</v>
      </c>
      <c r="B146" s="2" t="s">
        <v>313</v>
      </c>
      <c r="C146" s="2" t="s">
        <v>73</v>
      </c>
      <c r="D146" s="2" t="s">
        <v>74</v>
      </c>
      <c r="E146" s="2" t="s">
        <v>82</v>
      </c>
      <c r="F146" s="2" t="s">
        <v>121</v>
      </c>
    </row>
    <row r="147" spans="1:6" x14ac:dyDescent="0.25">
      <c r="A147" s="2" t="s">
        <v>26</v>
      </c>
      <c r="B147" s="2" t="s">
        <v>313</v>
      </c>
      <c r="C147" s="2" t="s">
        <v>100</v>
      </c>
      <c r="D147" s="2" t="s">
        <v>101</v>
      </c>
      <c r="E147" s="2" t="s">
        <v>102</v>
      </c>
      <c r="F147" s="2" t="s">
        <v>166</v>
      </c>
    </row>
    <row r="148" spans="1:6" x14ac:dyDescent="0.25">
      <c r="A148" s="2" t="s">
        <v>22</v>
      </c>
      <c r="B148" s="2" t="s">
        <v>313</v>
      </c>
      <c r="C148" s="2" t="s">
        <v>100</v>
      </c>
      <c r="D148" s="2" t="s">
        <v>101</v>
      </c>
      <c r="E148" s="2" t="s">
        <v>102</v>
      </c>
      <c r="F148" s="2" t="s">
        <v>118</v>
      </c>
    </row>
    <row r="149" spans="1:6" x14ac:dyDescent="0.25">
      <c r="A149" s="2" t="s">
        <v>34</v>
      </c>
      <c r="B149" s="2" t="s">
        <v>313</v>
      </c>
      <c r="C149" s="2" t="s">
        <v>100</v>
      </c>
      <c r="D149" s="2" t="s">
        <v>101</v>
      </c>
      <c r="E149" s="2" t="s">
        <v>102</v>
      </c>
      <c r="F149" s="2" t="s">
        <v>166</v>
      </c>
    </row>
    <row r="150" spans="1:6" x14ac:dyDescent="0.25">
      <c r="A150" s="2" t="s">
        <v>225</v>
      </c>
      <c r="B150" s="2" t="s">
        <v>313</v>
      </c>
      <c r="C150" s="2" t="s">
        <v>100</v>
      </c>
      <c r="D150" s="2" t="s">
        <v>101</v>
      </c>
      <c r="E150" s="2" t="s">
        <v>102</v>
      </c>
      <c r="F150" s="2" t="s">
        <v>103</v>
      </c>
    </row>
    <row r="151" spans="1:6" x14ac:dyDescent="0.25">
      <c r="A151" s="2" t="s">
        <v>281</v>
      </c>
      <c r="B151" s="2" t="s">
        <v>314</v>
      </c>
      <c r="C151" s="2" t="s">
        <v>100</v>
      </c>
      <c r="D151" s="2" t="s">
        <v>101</v>
      </c>
      <c r="E151" s="2" t="s">
        <v>102</v>
      </c>
      <c r="F151" s="2" t="s">
        <v>166</v>
      </c>
    </row>
    <row r="152" spans="1:6" x14ac:dyDescent="0.25">
      <c r="A152" s="2" t="s">
        <v>17</v>
      </c>
      <c r="B152" s="2" t="s">
        <v>313</v>
      </c>
      <c r="C152" s="2" t="s">
        <v>100</v>
      </c>
      <c r="D152" s="2" t="s">
        <v>101</v>
      </c>
      <c r="E152" s="2" t="s">
        <v>102</v>
      </c>
      <c r="F152" s="2" t="s">
        <v>103</v>
      </c>
    </row>
    <row r="153" spans="1:6" x14ac:dyDescent="0.25">
      <c r="A153" s="2" t="s">
        <v>29</v>
      </c>
      <c r="B153" s="2" t="s">
        <v>313</v>
      </c>
      <c r="C153" s="2" t="s">
        <v>100</v>
      </c>
      <c r="D153" s="2" t="s">
        <v>101</v>
      </c>
      <c r="E153" s="2" t="s">
        <v>102</v>
      </c>
      <c r="F153" s="2" t="s">
        <v>170</v>
      </c>
    </row>
    <row r="154" spans="1:6" x14ac:dyDescent="0.25">
      <c r="A154" s="2" t="s">
        <v>218</v>
      </c>
      <c r="B154" s="2" t="s">
        <v>313</v>
      </c>
      <c r="C154" s="2" t="s">
        <v>100</v>
      </c>
      <c r="D154" s="2" t="s">
        <v>101</v>
      </c>
      <c r="E154" s="2" t="s">
        <v>102</v>
      </c>
      <c r="F154" s="2" t="s">
        <v>103</v>
      </c>
    </row>
    <row r="155" spans="1:6" x14ac:dyDescent="0.25">
      <c r="A155" s="2" t="s">
        <v>181</v>
      </c>
      <c r="B155" s="2" t="s">
        <v>313</v>
      </c>
      <c r="C155" s="2" t="s">
        <v>73</v>
      </c>
      <c r="D155" s="2" t="s">
        <v>74</v>
      </c>
      <c r="E155" s="2" t="s">
        <v>92</v>
      </c>
      <c r="F155" s="2" t="s">
        <v>98</v>
      </c>
    </row>
    <row r="156" spans="1:6" x14ac:dyDescent="0.25">
      <c r="A156" s="2" t="s">
        <v>229</v>
      </c>
      <c r="B156" s="2" t="s">
        <v>313</v>
      </c>
      <c r="C156" s="2" t="s">
        <v>73</v>
      </c>
      <c r="D156" s="2" t="s">
        <v>74</v>
      </c>
      <c r="E156" s="2" t="s">
        <v>92</v>
      </c>
      <c r="F156" s="2" t="s">
        <v>105</v>
      </c>
    </row>
    <row r="157" spans="1:6" x14ac:dyDescent="0.25">
      <c r="A157" s="2" t="s">
        <v>168</v>
      </c>
      <c r="B157" s="2" t="s">
        <v>313</v>
      </c>
      <c r="C157" s="2" t="s">
        <v>73</v>
      </c>
      <c r="D157" s="2" t="s">
        <v>74</v>
      </c>
      <c r="E157" s="2" t="s">
        <v>92</v>
      </c>
      <c r="F157" s="2" t="s">
        <v>105</v>
      </c>
    </row>
    <row r="158" spans="1:6" x14ac:dyDescent="0.25">
      <c r="A158" s="2" t="s">
        <v>30</v>
      </c>
      <c r="B158" s="2" t="s">
        <v>313</v>
      </c>
      <c r="C158" s="2" t="s">
        <v>100</v>
      </c>
      <c r="D158" s="2" t="s">
        <v>101</v>
      </c>
      <c r="E158" s="2" t="s">
        <v>102</v>
      </c>
      <c r="F158" s="2" t="s">
        <v>103</v>
      </c>
    </row>
    <row r="159" spans="1:6" x14ac:dyDescent="0.25">
      <c r="A159" s="2" t="s">
        <v>32</v>
      </c>
      <c r="B159" s="2" t="s">
        <v>313</v>
      </c>
      <c r="C159" s="2" t="s">
        <v>100</v>
      </c>
      <c r="D159" s="2" t="s">
        <v>101</v>
      </c>
      <c r="E159" s="2" t="s">
        <v>102</v>
      </c>
      <c r="F159" s="2" t="s">
        <v>166</v>
      </c>
    </row>
    <row r="160" spans="1:6" x14ac:dyDescent="0.25">
      <c r="A160" s="2" t="s">
        <v>230</v>
      </c>
      <c r="B160" s="2" t="s">
        <v>314</v>
      </c>
      <c r="C160" s="2" t="s">
        <v>100</v>
      </c>
      <c r="D160" s="2" t="s">
        <v>101</v>
      </c>
      <c r="E160" s="2" t="s">
        <v>102</v>
      </c>
      <c r="F160" s="2" t="s">
        <v>170</v>
      </c>
    </row>
    <row r="161" spans="1:6" x14ac:dyDescent="0.25">
      <c r="A161" s="2" t="s">
        <v>150</v>
      </c>
      <c r="B161" s="2" t="s">
        <v>313</v>
      </c>
      <c r="C161" s="2" t="s">
        <v>73</v>
      </c>
      <c r="D161" s="2" t="s">
        <v>101</v>
      </c>
      <c r="E161" s="2" t="s">
        <v>102</v>
      </c>
      <c r="F161" s="2" t="s">
        <v>116</v>
      </c>
    </row>
    <row r="162" spans="1:6" x14ac:dyDescent="0.25">
      <c r="A162" s="2" t="s">
        <v>272</v>
      </c>
      <c r="B162" s="2" t="s">
        <v>313</v>
      </c>
      <c r="C162" s="2" t="s">
        <v>73</v>
      </c>
      <c r="D162" s="2" t="s">
        <v>101</v>
      </c>
      <c r="E162" s="2" t="s">
        <v>102</v>
      </c>
      <c r="F162" s="2" t="s">
        <v>116</v>
      </c>
    </row>
    <row r="163" spans="1:6" x14ac:dyDescent="0.25">
      <c r="A163" s="2" t="s">
        <v>292</v>
      </c>
      <c r="B163" s="2" t="s">
        <v>313</v>
      </c>
      <c r="C163" s="2" t="s">
        <v>73</v>
      </c>
      <c r="D163" s="2" t="s">
        <v>101</v>
      </c>
      <c r="E163" s="2" t="s">
        <v>102</v>
      </c>
      <c r="F163" s="2" t="s">
        <v>116</v>
      </c>
    </row>
    <row r="164" spans="1:6" x14ac:dyDescent="0.25">
      <c r="A164" s="2" t="s">
        <v>128</v>
      </c>
      <c r="B164" s="2" t="s">
        <v>313</v>
      </c>
      <c r="C164" s="2" t="s">
        <v>73</v>
      </c>
      <c r="D164" s="2" t="s">
        <v>101</v>
      </c>
      <c r="E164" s="2" t="s">
        <v>102</v>
      </c>
      <c r="F164" s="2" t="s">
        <v>116</v>
      </c>
    </row>
    <row r="165" spans="1:6" x14ac:dyDescent="0.25">
      <c r="A165" s="2" t="s">
        <v>238</v>
      </c>
      <c r="B165" s="2" t="s">
        <v>313</v>
      </c>
      <c r="C165" s="2" t="s">
        <v>73</v>
      </c>
      <c r="D165" s="2" t="s">
        <v>74</v>
      </c>
      <c r="E165" s="2" t="s">
        <v>82</v>
      </c>
      <c r="F165" s="2" t="s">
        <v>116</v>
      </c>
    </row>
    <row r="166" spans="1:6" x14ac:dyDescent="0.25">
      <c r="A166" s="2" t="s">
        <v>269</v>
      </c>
      <c r="B166" s="2" t="s">
        <v>313</v>
      </c>
      <c r="C166" s="2" t="s">
        <v>73</v>
      </c>
      <c r="D166" s="2" t="s">
        <v>74</v>
      </c>
      <c r="E166" s="2" t="s">
        <v>82</v>
      </c>
      <c r="F166" s="2" t="s">
        <v>116</v>
      </c>
    </row>
    <row r="167" spans="1:6" x14ac:dyDescent="0.25">
      <c r="A167" s="2" t="s">
        <v>284</v>
      </c>
      <c r="B167" s="2" t="s">
        <v>313</v>
      </c>
      <c r="C167" s="2" t="s">
        <v>73</v>
      </c>
      <c r="D167" s="2" t="s">
        <v>74</v>
      </c>
      <c r="E167" s="2" t="s">
        <v>82</v>
      </c>
      <c r="F167" s="2" t="s">
        <v>116</v>
      </c>
    </row>
    <row r="168" spans="1:6" x14ac:dyDescent="0.25">
      <c r="A168" s="2" t="s">
        <v>117</v>
      </c>
      <c r="B168" s="2" t="s">
        <v>313</v>
      </c>
      <c r="C168" s="2" t="s">
        <v>73</v>
      </c>
      <c r="D168" s="2" t="s">
        <v>74</v>
      </c>
      <c r="E168" s="2" t="s">
        <v>82</v>
      </c>
      <c r="F168" s="2" t="s">
        <v>116</v>
      </c>
    </row>
    <row r="169" spans="1:6" x14ac:dyDescent="0.25">
      <c r="A169" s="2" t="s">
        <v>274</v>
      </c>
      <c r="B169" s="2" t="s">
        <v>313</v>
      </c>
      <c r="C169" s="2" t="s">
        <v>73</v>
      </c>
      <c r="D169" s="2" t="s">
        <v>101</v>
      </c>
      <c r="E169" s="2" t="s">
        <v>102</v>
      </c>
      <c r="F169" s="2" t="s">
        <v>116</v>
      </c>
    </row>
    <row r="170" spans="1:6" x14ac:dyDescent="0.25">
      <c r="A170" s="2" t="s">
        <v>145</v>
      </c>
      <c r="B170" s="2" t="s">
        <v>313</v>
      </c>
      <c r="C170" s="2" t="s">
        <v>73</v>
      </c>
      <c r="D170" s="2" t="s">
        <v>101</v>
      </c>
      <c r="E170" s="2" t="s">
        <v>102</v>
      </c>
      <c r="F170" s="2" t="s">
        <v>116</v>
      </c>
    </row>
    <row r="171" spans="1:6" x14ac:dyDescent="0.25">
      <c r="A171" s="2" t="s">
        <v>156</v>
      </c>
      <c r="B171" s="2" t="s">
        <v>313</v>
      </c>
      <c r="C171" s="2" t="s">
        <v>73</v>
      </c>
      <c r="D171" s="2" t="s">
        <v>101</v>
      </c>
      <c r="E171" s="2" t="s">
        <v>102</v>
      </c>
      <c r="F171" s="2" t="s">
        <v>143</v>
      </c>
    </row>
    <row r="172" spans="1:6" x14ac:dyDescent="0.25">
      <c r="A172" s="2" t="s">
        <v>239</v>
      </c>
      <c r="B172" s="2" t="s">
        <v>313</v>
      </c>
      <c r="C172" s="2" t="s">
        <v>73</v>
      </c>
      <c r="D172" s="2" t="s">
        <v>74</v>
      </c>
      <c r="E172" s="2" t="s">
        <v>82</v>
      </c>
      <c r="F172" s="2" t="s">
        <v>125</v>
      </c>
    </row>
    <row r="173" spans="1:6" x14ac:dyDescent="0.25">
      <c r="A173" s="2" t="s">
        <v>138</v>
      </c>
      <c r="B173" s="2" t="s">
        <v>313</v>
      </c>
      <c r="C173" s="2" t="s">
        <v>73</v>
      </c>
      <c r="D173" s="2" t="s">
        <v>74</v>
      </c>
      <c r="E173" s="2" t="s">
        <v>82</v>
      </c>
      <c r="F173" s="2" t="s">
        <v>125</v>
      </c>
    </row>
    <row r="174" spans="1:6" x14ac:dyDescent="0.25">
      <c r="A174" s="2" t="s">
        <v>152</v>
      </c>
      <c r="B174" s="2" t="s">
        <v>313</v>
      </c>
      <c r="C174" s="2" t="s">
        <v>73</v>
      </c>
      <c r="D174" s="2" t="s">
        <v>74</v>
      </c>
      <c r="E174" s="2" t="s">
        <v>82</v>
      </c>
      <c r="F174" s="2" t="s">
        <v>125</v>
      </c>
    </row>
    <row r="175" spans="1:6" x14ac:dyDescent="0.25">
      <c r="A175" s="2" t="s">
        <v>275</v>
      </c>
      <c r="B175" s="2" t="s">
        <v>313</v>
      </c>
      <c r="C175" s="2" t="s">
        <v>73</v>
      </c>
      <c r="D175" s="2" t="s">
        <v>101</v>
      </c>
      <c r="E175" s="2" t="s">
        <v>102</v>
      </c>
      <c r="F175" s="2" t="s">
        <v>143</v>
      </c>
    </row>
    <row r="176" spans="1:6" x14ac:dyDescent="0.25">
      <c r="A176" s="2" t="s">
        <v>177</v>
      </c>
      <c r="B176" s="2" t="s">
        <v>313</v>
      </c>
      <c r="C176" s="2" t="s">
        <v>73</v>
      </c>
      <c r="D176" s="2" t="s">
        <v>101</v>
      </c>
      <c r="E176" s="2" t="s">
        <v>102</v>
      </c>
      <c r="F176" s="2" t="s">
        <v>143</v>
      </c>
    </row>
    <row r="177" spans="1:6" x14ac:dyDescent="0.25">
      <c r="A177" s="2" t="s">
        <v>185</v>
      </c>
      <c r="B177" s="2" t="s">
        <v>313</v>
      </c>
      <c r="C177" s="2" t="s">
        <v>73</v>
      </c>
      <c r="D177" s="2" t="s">
        <v>101</v>
      </c>
      <c r="E177" s="2" t="s">
        <v>102</v>
      </c>
      <c r="F177" s="2" t="s">
        <v>143</v>
      </c>
    </row>
    <row r="178" spans="1:6" x14ac:dyDescent="0.25">
      <c r="A178" s="2" t="s">
        <v>149</v>
      </c>
      <c r="B178" s="2" t="s">
        <v>313</v>
      </c>
      <c r="C178" s="2" t="s">
        <v>73</v>
      </c>
      <c r="D178" s="2" t="s">
        <v>74</v>
      </c>
      <c r="E178" s="2" t="s">
        <v>92</v>
      </c>
      <c r="F178" s="2" t="s">
        <v>105</v>
      </c>
    </row>
    <row r="179" spans="1:6" x14ac:dyDescent="0.25">
      <c r="A179" s="2" t="s">
        <v>99</v>
      </c>
      <c r="B179" s="2" t="s">
        <v>313</v>
      </c>
      <c r="C179" s="2" t="s">
        <v>73</v>
      </c>
      <c r="D179" s="2" t="s">
        <v>74</v>
      </c>
      <c r="E179" s="2" t="s">
        <v>92</v>
      </c>
      <c r="F179" s="2" t="s">
        <v>98</v>
      </c>
    </row>
    <row r="180" spans="1:6" x14ac:dyDescent="0.25">
      <c r="A180" s="2" t="s">
        <v>231</v>
      </c>
      <c r="B180" s="2" t="s">
        <v>313</v>
      </c>
      <c r="C180" s="2" t="s">
        <v>73</v>
      </c>
      <c r="D180" s="2" t="s">
        <v>74</v>
      </c>
      <c r="E180" s="2" t="s">
        <v>92</v>
      </c>
      <c r="F180" s="2" t="s">
        <v>111</v>
      </c>
    </row>
    <row r="181" spans="1:6" x14ac:dyDescent="0.25">
      <c r="A181" s="2" t="s">
        <v>137</v>
      </c>
      <c r="B181" s="2" t="s">
        <v>313</v>
      </c>
      <c r="C181" s="2" t="s">
        <v>73</v>
      </c>
      <c r="D181" s="2" t="s">
        <v>74</v>
      </c>
      <c r="E181" s="2" t="s">
        <v>82</v>
      </c>
      <c r="F181" s="2" t="s">
        <v>116</v>
      </c>
    </row>
    <row r="182" spans="1:6" x14ac:dyDescent="0.25">
      <c r="A182" s="2" t="s">
        <v>147</v>
      </c>
      <c r="B182" s="2" t="s">
        <v>313</v>
      </c>
      <c r="C182" s="2" t="s">
        <v>73</v>
      </c>
      <c r="D182" s="2" t="s">
        <v>101</v>
      </c>
      <c r="E182" s="2" t="s">
        <v>102</v>
      </c>
      <c r="F182" s="2" t="s">
        <v>116</v>
      </c>
    </row>
    <row r="183" spans="1:6" x14ac:dyDescent="0.25">
      <c r="A183" s="2" t="s">
        <v>146</v>
      </c>
      <c r="B183" s="2" t="s">
        <v>313</v>
      </c>
      <c r="C183" s="2" t="s">
        <v>73</v>
      </c>
      <c r="D183" s="2" t="s">
        <v>101</v>
      </c>
      <c r="E183" s="2" t="s">
        <v>102</v>
      </c>
      <c r="F183" s="2" t="s">
        <v>116</v>
      </c>
    </row>
    <row r="184" spans="1:6" x14ac:dyDescent="0.25">
      <c r="A184" s="2" t="s">
        <v>234</v>
      </c>
      <c r="B184" s="2" t="s">
        <v>313</v>
      </c>
      <c r="C184" s="2" t="s">
        <v>73</v>
      </c>
      <c r="D184" s="2" t="s">
        <v>101</v>
      </c>
      <c r="E184" s="2" t="s">
        <v>102</v>
      </c>
      <c r="F184" s="2" t="s">
        <v>116</v>
      </c>
    </row>
    <row r="185" spans="1:6" x14ac:dyDescent="0.25">
      <c r="A185" s="2" t="s">
        <v>169</v>
      </c>
      <c r="B185" s="2" t="s">
        <v>313</v>
      </c>
      <c r="C185" s="2" t="s">
        <v>73</v>
      </c>
      <c r="D185" s="2" t="s">
        <v>74</v>
      </c>
      <c r="E185" s="2" t="s">
        <v>92</v>
      </c>
      <c r="F185" s="2" t="s">
        <v>111</v>
      </c>
    </row>
    <row r="186" spans="1:6" x14ac:dyDescent="0.25">
      <c r="A186" s="2" t="s">
        <v>206</v>
      </c>
      <c r="B186" s="2" t="s">
        <v>313</v>
      </c>
      <c r="C186" s="2" t="s">
        <v>73</v>
      </c>
      <c r="D186" s="2" t="s">
        <v>74</v>
      </c>
      <c r="E186" s="2" t="s">
        <v>92</v>
      </c>
      <c r="F186" s="2" t="s">
        <v>174</v>
      </c>
    </row>
    <row r="187" spans="1:6" x14ac:dyDescent="0.25">
      <c r="A187" s="2" t="s">
        <v>286</v>
      </c>
      <c r="B187" s="2" t="s">
        <v>313</v>
      </c>
      <c r="C187" s="2" t="s">
        <v>73</v>
      </c>
      <c r="D187" s="2" t="s">
        <v>74</v>
      </c>
      <c r="E187" s="2" t="s">
        <v>92</v>
      </c>
      <c r="F187" s="2" t="s">
        <v>174</v>
      </c>
    </row>
    <row r="188" spans="1:6" x14ac:dyDescent="0.25">
      <c r="A188" s="2" t="s">
        <v>221</v>
      </c>
      <c r="B188" s="2" t="s">
        <v>313</v>
      </c>
      <c r="C188" s="2" t="s">
        <v>73</v>
      </c>
      <c r="D188" s="2" t="s">
        <v>74</v>
      </c>
      <c r="E188" s="2" t="s">
        <v>92</v>
      </c>
      <c r="F188" s="2" t="s">
        <v>93</v>
      </c>
    </row>
    <row r="189" spans="1:6" x14ac:dyDescent="0.25">
      <c r="A189" s="2" t="s">
        <v>222</v>
      </c>
      <c r="B189" s="2" t="s">
        <v>313</v>
      </c>
      <c r="C189" s="2" t="s">
        <v>73</v>
      </c>
      <c r="D189" s="2" t="s">
        <v>74</v>
      </c>
      <c r="E189" s="2" t="s">
        <v>92</v>
      </c>
      <c r="F189" s="2" t="s">
        <v>93</v>
      </c>
    </row>
    <row r="190" spans="1:6" x14ac:dyDescent="0.25">
      <c r="A190" s="2" t="s">
        <v>257</v>
      </c>
      <c r="B190" s="2" t="s">
        <v>313</v>
      </c>
      <c r="C190" s="2" t="s">
        <v>73</v>
      </c>
      <c r="D190" s="2" t="s">
        <v>74</v>
      </c>
      <c r="E190" s="2" t="s">
        <v>92</v>
      </c>
      <c r="F190" s="2" t="s">
        <v>93</v>
      </c>
    </row>
    <row r="191" spans="1:6" x14ac:dyDescent="0.25">
      <c r="A191" s="2" t="s">
        <v>285</v>
      </c>
      <c r="B191" s="2" t="s">
        <v>313</v>
      </c>
      <c r="C191" s="2" t="s">
        <v>73</v>
      </c>
      <c r="D191" s="2" t="s">
        <v>74</v>
      </c>
      <c r="E191" s="2" t="s">
        <v>75</v>
      </c>
      <c r="F191" s="2" t="s">
        <v>95</v>
      </c>
    </row>
    <row r="192" spans="1:6" x14ac:dyDescent="0.25">
      <c r="A192" s="2" t="s">
        <v>97</v>
      </c>
      <c r="B192" s="2" t="s">
        <v>313</v>
      </c>
      <c r="C192" s="2" t="s">
        <v>73</v>
      </c>
      <c r="D192" s="2" t="s">
        <v>74</v>
      </c>
      <c r="E192" s="2" t="s">
        <v>75</v>
      </c>
      <c r="F192" s="2" t="s">
        <v>95</v>
      </c>
    </row>
    <row r="193" spans="1:6" x14ac:dyDescent="0.25">
      <c r="A193" s="2" t="s">
        <v>224</v>
      </c>
      <c r="B193" s="2" t="s">
        <v>313</v>
      </c>
      <c r="C193" s="2" t="s">
        <v>73</v>
      </c>
      <c r="D193" s="2" t="s">
        <v>74</v>
      </c>
      <c r="E193" s="2" t="s">
        <v>75</v>
      </c>
      <c r="F193" s="2" t="s">
        <v>95</v>
      </c>
    </row>
    <row r="194" spans="1:6" x14ac:dyDescent="0.25">
      <c r="A194" s="2" t="s">
        <v>248</v>
      </c>
      <c r="B194" s="2" t="s">
        <v>313</v>
      </c>
      <c r="C194" s="2" t="s">
        <v>73</v>
      </c>
      <c r="D194" s="2" t="s">
        <v>74</v>
      </c>
      <c r="E194" s="2" t="s">
        <v>82</v>
      </c>
      <c r="F194" s="2" t="s">
        <v>85</v>
      </c>
    </row>
    <row r="195" spans="1:6" x14ac:dyDescent="0.25">
      <c r="A195" s="2" t="s">
        <v>153</v>
      </c>
      <c r="B195" s="2" t="s">
        <v>313</v>
      </c>
      <c r="C195" s="2" t="s">
        <v>73</v>
      </c>
      <c r="D195" s="2" t="s">
        <v>74</v>
      </c>
      <c r="E195" s="2" t="s">
        <v>82</v>
      </c>
      <c r="F195" s="2" t="s">
        <v>125</v>
      </c>
    </row>
    <row r="196" spans="1:6" x14ac:dyDescent="0.25">
      <c r="A196" s="2" t="s">
        <v>254</v>
      </c>
      <c r="B196" s="2" t="s">
        <v>313</v>
      </c>
      <c r="C196" s="2" t="s">
        <v>73</v>
      </c>
      <c r="D196" s="2" t="s">
        <v>74</v>
      </c>
      <c r="E196" s="2" t="s">
        <v>82</v>
      </c>
      <c r="F196" s="2" t="s">
        <v>125</v>
      </c>
    </row>
    <row r="197" spans="1:6" x14ac:dyDescent="0.25">
      <c r="A197" s="2" t="s">
        <v>126</v>
      </c>
      <c r="B197" s="2" t="s">
        <v>313</v>
      </c>
      <c r="C197" s="2" t="s">
        <v>73</v>
      </c>
      <c r="D197" s="2" t="s">
        <v>74</v>
      </c>
      <c r="E197" s="2" t="s">
        <v>82</v>
      </c>
      <c r="F197" s="2" t="s">
        <v>125</v>
      </c>
    </row>
    <row r="198" spans="1:6" x14ac:dyDescent="0.25">
      <c r="A198" s="2" t="s">
        <v>176</v>
      </c>
      <c r="B198" s="2" t="s">
        <v>313</v>
      </c>
      <c r="C198" s="2" t="s">
        <v>73</v>
      </c>
      <c r="D198" s="2" t="s">
        <v>74</v>
      </c>
      <c r="E198" s="2" t="s">
        <v>82</v>
      </c>
      <c r="F198" s="2" t="s">
        <v>125</v>
      </c>
    </row>
    <row r="199" spans="1:6" x14ac:dyDescent="0.25">
      <c r="A199" s="2" t="s">
        <v>192</v>
      </c>
      <c r="B199" s="2" t="s">
        <v>313</v>
      </c>
      <c r="C199" s="2" t="s">
        <v>73</v>
      </c>
      <c r="D199" s="2" t="s">
        <v>74</v>
      </c>
      <c r="E199" s="2" t="s">
        <v>82</v>
      </c>
      <c r="F199" s="2" t="s">
        <v>125</v>
      </c>
    </row>
    <row r="200" spans="1:6" x14ac:dyDescent="0.25">
      <c r="A200" s="2" t="s">
        <v>199</v>
      </c>
      <c r="B200" s="2" t="s">
        <v>313</v>
      </c>
      <c r="C200" s="2" t="s">
        <v>73</v>
      </c>
      <c r="D200" s="2" t="s">
        <v>74</v>
      </c>
      <c r="E200" s="2" t="s">
        <v>92</v>
      </c>
      <c r="F200" s="2" t="s">
        <v>105</v>
      </c>
    </row>
    <row r="201" spans="1:6" x14ac:dyDescent="0.25">
      <c r="A201" s="2" t="s">
        <v>190</v>
      </c>
      <c r="B201" s="2" t="s">
        <v>313</v>
      </c>
      <c r="C201" s="2" t="s">
        <v>73</v>
      </c>
      <c r="D201" s="2" t="s">
        <v>74</v>
      </c>
      <c r="E201" s="2" t="s">
        <v>92</v>
      </c>
      <c r="F201" s="2" t="s">
        <v>105</v>
      </c>
    </row>
    <row r="202" spans="1:6" x14ac:dyDescent="0.25">
      <c r="A202" s="2" t="s">
        <v>207</v>
      </c>
      <c r="B202" s="2" t="s">
        <v>313</v>
      </c>
      <c r="C202" s="2" t="s">
        <v>73</v>
      </c>
      <c r="D202" s="2" t="s">
        <v>74</v>
      </c>
      <c r="E202" s="2" t="s">
        <v>92</v>
      </c>
      <c r="F202" s="2" t="s">
        <v>139</v>
      </c>
    </row>
    <row r="203" spans="1:6" x14ac:dyDescent="0.25">
      <c r="A203" s="2" t="s">
        <v>212</v>
      </c>
      <c r="B203" s="2" t="s">
        <v>313</v>
      </c>
      <c r="C203" s="2" t="s">
        <v>73</v>
      </c>
      <c r="D203" s="2" t="s">
        <v>74</v>
      </c>
      <c r="E203" s="2" t="s">
        <v>92</v>
      </c>
      <c r="F203" s="2" t="s">
        <v>139</v>
      </c>
    </row>
    <row r="204" spans="1:6" x14ac:dyDescent="0.25">
      <c r="A204" s="2" t="s">
        <v>144</v>
      </c>
      <c r="B204" s="2" t="s">
        <v>313</v>
      </c>
      <c r="C204" s="2" t="s">
        <v>73</v>
      </c>
      <c r="D204" s="2" t="s">
        <v>101</v>
      </c>
      <c r="E204" s="2" t="s">
        <v>102</v>
      </c>
      <c r="F204" s="2" t="s">
        <v>143</v>
      </c>
    </row>
    <row r="205" spans="1:6" x14ac:dyDescent="0.25">
      <c r="A205" s="2" t="s">
        <v>42</v>
      </c>
      <c r="B205" s="2" t="s">
        <v>313</v>
      </c>
      <c r="C205" s="2" t="s">
        <v>73</v>
      </c>
      <c r="D205" s="2" t="s">
        <v>101</v>
      </c>
      <c r="E205" s="2" t="s">
        <v>102</v>
      </c>
      <c r="F205" s="2" t="s">
        <v>143</v>
      </c>
    </row>
    <row r="206" spans="1:6" x14ac:dyDescent="0.25">
      <c r="A206" s="2" t="s">
        <v>235</v>
      </c>
      <c r="B206" s="2" t="s">
        <v>313</v>
      </c>
      <c r="C206" s="2" t="s">
        <v>73</v>
      </c>
      <c r="D206" s="2" t="s">
        <v>101</v>
      </c>
      <c r="E206" s="2" t="s">
        <v>102</v>
      </c>
      <c r="F206" s="2" t="s">
        <v>143</v>
      </c>
    </row>
    <row r="207" spans="1:6" x14ac:dyDescent="0.25">
      <c r="A207" s="2" t="s">
        <v>162</v>
      </c>
      <c r="B207" s="2" t="s">
        <v>313</v>
      </c>
      <c r="C207" s="2" t="s">
        <v>73</v>
      </c>
      <c r="D207" s="2" t="s">
        <v>74</v>
      </c>
      <c r="E207" s="2" t="s">
        <v>82</v>
      </c>
      <c r="F207" s="2" t="s">
        <v>83</v>
      </c>
    </row>
    <row r="208" spans="1:6" x14ac:dyDescent="0.25">
      <c r="A208" s="2" t="s">
        <v>253</v>
      </c>
      <c r="B208" s="2" t="s">
        <v>313</v>
      </c>
      <c r="C208" s="2" t="s">
        <v>73</v>
      </c>
      <c r="D208" s="2" t="s">
        <v>74</v>
      </c>
      <c r="E208" s="2" t="s">
        <v>82</v>
      </c>
      <c r="F208" s="2" t="s">
        <v>116</v>
      </c>
    </row>
    <row r="209" spans="1:6" x14ac:dyDescent="0.25">
      <c r="A209" s="2" t="s">
        <v>219</v>
      </c>
      <c r="B209" s="2" t="s">
        <v>313</v>
      </c>
      <c r="C209" s="2" t="s">
        <v>73</v>
      </c>
      <c r="D209" s="2" t="s">
        <v>74</v>
      </c>
      <c r="E209" s="2" t="s">
        <v>82</v>
      </c>
      <c r="F209" s="2" t="s">
        <v>116</v>
      </c>
    </row>
    <row r="210" spans="1:6" x14ac:dyDescent="0.25">
      <c r="A210" s="2" t="s">
        <v>210</v>
      </c>
      <c r="B210" s="2" t="s">
        <v>313</v>
      </c>
      <c r="C210" s="2" t="s">
        <v>73</v>
      </c>
      <c r="D210" s="2" t="s">
        <v>74</v>
      </c>
      <c r="E210" s="2" t="s">
        <v>82</v>
      </c>
      <c r="F210" s="2" t="s">
        <v>83</v>
      </c>
    </row>
    <row r="211" spans="1:6" x14ac:dyDescent="0.25">
      <c r="A211" s="2" t="s">
        <v>249</v>
      </c>
      <c r="B211" s="2" t="s">
        <v>313</v>
      </c>
      <c r="C211" s="2" t="s">
        <v>73</v>
      </c>
      <c r="D211" s="2" t="s">
        <v>74</v>
      </c>
      <c r="E211" s="2" t="s">
        <v>82</v>
      </c>
      <c r="F211" s="2" t="s">
        <v>83</v>
      </c>
    </row>
    <row r="212" spans="1:6" x14ac:dyDescent="0.25">
      <c r="A212" s="2" t="s">
        <v>163</v>
      </c>
      <c r="B212" s="2" t="s">
        <v>313</v>
      </c>
      <c r="C212" s="2" t="s">
        <v>73</v>
      </c>
      <c r="D212" s="2" t="s">
        <v>74</v>
      </c>
      <c r="E212" s="2" t="s">
        <v>82</v>
      </c>
      <c r="F212" s="2" t="s">
        <v>116</v>
      </c>
    </row>
    <row r="213" spans="1:6" x14ac:dyDescent="0.25">
      <c r="A213" s="2" t="s">
        <v>243</v>
      </c>
      <c r="B213" s="2" t="s">
        <v>313</v>
      </c>
      <c r="C213" s="2" t="s">
        <v>73</v>
      </c>
      <c r="D213" s="2" t="s">
        <v>74</v>
      </c>
      <c r="E213" s="2" t="s">
        <v>92</v>
      </c>
      <c r="F213" s="2" t="s">
        <v>98</v>
      </c>
    </row>
    <row r="214" spans="1:6" x14ac:dyDescent="0.25">
      <c r="A214" s="2" t="s">
        <v>220</v>
      </c>
      <c r="B214" s="2" t="s">
        <v>313</v>
      </c>
      <c r="C214" s="2" t="s">
        <v>73</v>
      </c>
      <c r="D214" s="2" t="s">
        <v>101</v>
      </c>
      <c r="E214" s="2" t="s">
        <v>102</v>
      </c>
      <c r="F214" s="2" t="s">
        <v>116</v>
      </c>
    </row>
    <row r="215" spans="1:6" x14ac:dyDescent="0.25">
      <c r="A215" s="2" t="s">
        <v>45</v>
      </c>
      <c r="B215" s="2" t="s">
        <v>313</v>
      </c>
      <c r="C215" s="2" t="s">
        <v>73</v>
      </c>
      <c r="D215" s="2" t="s">
        <v>101</v>
      </c>
      <c r="E215" s="2" t="s">
        <v>102</v>
      </c>
      <c r="F215" s="2" t="s">
        <v>116</v>
      </c>
    </row>
    <row r="216" spans="1:6" x14ac:dyDescent="0.25">
      <c r="A216" s="2" t="s">
        <v>132</v>
      </c>
      <c r="B216" s="2" t="s">
        <v>313</v>
      </c>
      <c r="C216" s="2" t="s">
        <v>73</v>
      </c>
      <c r="D216" s="2" t="s">
        <v>74</v>
      </c>
      <c r="E216" s="2" t="s">
        <v>82</v>
      </c>
      <c r="F216" s="2" t="s">
        <v>116</v>
      </c>
    </row>
    <row r="217" spans="1:6" x14ac:dyDescent="0.25">
      <c r="A217" s="2" t="s">
        <v>27</v>
      </c>
      <c r="B217" s="2" t="s">
        <v>313</v>
      </c>
      <c r="C217" s="2" t="s">
        <v>73</v>
      </c>
      <c r="D217" s="2" t="s">
        <v>101</v>
      </c>
      <c r="E217" s="2" t="s">
        <v>102</v>
      </c>
      <c r="F217" s="2" t="s">
        <v>116</v>
      </c>
    </row>
    <row r="218" spans="1:6" x14ac:dyDescent="0.25">
      <c r="A218" s="2" t="s">
        <v>265</v>
      </c>
      <c r="B218" s="2" t="s">
        <v>313</v>
      </c>
      <c r="C218" s="2" t="s">
        <v>73</v>
      </c>
      <c r="D218" s="2" t="s">
        <v>74</v>
      </c>
      <c r="E218" s="2" t="s">
        <v>92</v>
      </c>
      <c r="F218" s="2" t="s">
        <v>174</v>
      </c>
    </row>
    <row r="219" spans="1:6" x14ac:dyDescent="0.25">
      <c r="A219" s="2" t="s">
        <v>204</v>
      </c>
      <c r="B219" s="2" t="s">
        <v>313</v>
      </c>
      <c r="C219" s="2" t="s">
        <v>73</v>
      </c>
      <c r="D219" s="2" t="s">
        <v>101</v>
      </c>
      <c r="E219" s="2" t="s">
        <v>102</v>
      </c>
      <c r="F219" s="2" t="s">
        <v>116</v>
      </c>
    </row>
    <row r="220" spans="1:6" x14ac:dyDescent="0.25">
      <c r="A220" s="2" t="s">
        <v>202</v>
      </c>
      <c r="B220" s="2" t="s">
        <v>313</v>
      </c>
      <c r="C220" s="2" t="s">
        <v>73</v>
      </c>
      <c r="D220" s="2" t="s">
        <v>74</v>
      </c>
      <c r="E220" s="2" t="s">
        <v>92</v>
      </c>
      <c r="F220" s="2" t="s">
        <v>139</v>
      </c>
    </row>
    <row r="221" spans="1:6" x14ac:dyDescent="0.25">
      <c r="A221" s="2" t="s">
        <v>40</v>
      </c>
      <c r="B221" s="2" t="s">
        <v>313</v>
      </c>
      <c r="C221" s="2" t="s">
        <v>73</v>
      </c>
      <c r="D221" s="2" t="s">
        <v>101</v>
      </c>
      <c r="E221" s="2" t="s">
        <v>102</v>
      </c>
      <c r="F221" s="2" t="s">
        <v>143</v>
      </c>
    </row>
    <row r="222" spans="1:6" x14ac:dyDescent="0.25">
      <c r="A222" s="2" t="s">
        <v>36</v>
      </c>
      <c r="B222" s="2" t="s">
        <v>313</v>
      </c>
      <c r="C222" s="2" t="s">
        <v>87</v>
      </c>
      <c r="D222" s="2" t="s">
        <v>88</v>
      </c>
      <c r="E222" s="2" t="s">
        <v>89</v>
      </c>
      <c r="F222" s="2" t="s">
        <v>90</v>
      </c>
    </row>
    <row r="223" spans="1:6" x14ac:dyDescent="0.25">
      <c r="A223" s="2" t="s">
        <v>262</v>
      </c>
      <c r="B223" s="2" t="s">
        <v>313</v>
      </c>
      <c r="C223" s="2" t="s">
        <v>87</v>
      </c>
      <c r="D223" s="2" t="s">
        <v>88</v>
      </c>
      <c r="E223" s="2" t="s">
        <v>89</v>
      </c>
      <c r="F223" s="2" t="s">
        <v>104</v>
      </c>
    </row>
    <row r="224" spans="1:6" x14ac:dyDescent="0.25">
      <c r="A224" s="2" t="s">
        <v>28</v>
      </c>
      <c r="B224" s="2" t="s">
        <v>313</v>
      </c>
      <c r="C224" s="2" t="s">
        <v>87</v>
      </c>
      <c r="D224" s="2" t="s">
        <v>88</v>
      </c>
      <c r="E224" s="2" t="s">
        <v>89</v>
      </c>
      <c r="F224" s="2" t="s">
        <v>110</v>
      </c>
    </row>
    <row r="225" spans="1:6" x14ac:dyDescent="0.25">
      <c r="A225" s="2" t="s">
        <v>159</v>
      </c>
      <c r="B225" s="2" t="s">
        <v>314</v>
      </c>
      <c r="C225" s="2" t="s">
        <v>87</v>
      </c>
      <c r="D225" s="2" t="s">
        <v>88</v>
      </c>
      <c r="E225" s="2" t="s">
        <v>89</v>
      </c>
      <c r="F225" s="2" t="s">
        <v>110</v>
      </c>
    </row>
    <row r="226" spans="1:6" x14ac:dyDescent="0.25">
      <c r="A226" s="2" t="s">
        <v>37</v>
      </c>
      <c r="B226" s="2" t="s">
        <v>313</v>
      </c>
      <c r="C226" s="2" t="s">
        <v>87</v>
      </c>
      <c r="D226" s="2" t="s">
        <v>88</v>
      </c>
      <c r="E226" s="2" t="s">
        <v>89</v>
      </c>
      <c r="F226" s="2" t="s">
        <v>104</v>
      </c>
    </row>
    <row r="227" spans="1:6" x14ac:dyDescent="0.25">
      <c r="A227" s="2" t="s">
        <v>48</v>
      </c>
      <c r="B227" s="2" t="s">
        <v>313</v>
      </c>
      <c r="C227" s="2" t="s">
        <v>87</v>
      </c>
      <c r="D227" s="2" t="s">
        <v>88</v>
      </c>
      <c r="E227" s="2" t="s">
        <v>89</v>
      </c>
      <c r="F227" s="2" t="s">
        <v>110</v>
      </c>
    </row>
    <row r="228" spans="1:6" x14ac:dyDescent="0.25">
      <c r="A228" s="2" t="s">
        <v>259</v>
      </c>
      <c r="B228" s="2" t="s">
        <v>313</v>
      </c>
      <c r="C228" s="2" t="s">
        <v>87</v>
      </c>
      <c r="D228" s="2" t="s">
        <v>88</v>
      </c>
      <c r="E228" s="2" t="s">
        <v>89</v>
      </c>
      <c r="F228" s="2" t="s">
        <v>110</v>
      </c>
    </row>
    <row r="229" spans="1:6" x14ac:dyDescent="0.25">
      <c r="A229" s="2" t="s">
        <v>47</v>
      </c>
      <c r="B229" s="2" t="s">
        <v>313</v>
      </c>
      <c r="C229" s="2" t="s">
        <v>87</v>
      </c>
      <c r="D229" s="2" t="s">
        <v>88</v>
      </c>
      <c r="E229" s="2" t="s">
        <v>89</v>
      </c>
      <c r="F229" s="2" t="s">
        <v>110</v>
      </c>
    </row>
    <row r="230" spans="1:6" x14ac:dyDescent="0.25">
      <c r="A230" s="2" t="s">
        <v>213</v>
      </c>
      <c r="B230" s="2" t="s">
        <v>313</v>
      </c>
      <c r="C230" s="2" t="s">
        <v>87</v>
      </c>
      <c r="D230" s="2" t="s">
        <v>88</v>
      </c>
      <c r="E230" s="2" t="s">
        <v>89</v>
      </c>
      <c r="F230" s="2" t="s">
        <v>110</v>
      </c>
    </row>
    <row r="231" spans="1:6" x14ac:dyDescent="0.25">
      <c r="A231" s="2" t="s">
        <v>60</v>
      </c>
      <c r="B231" s="2" t="s">
        <v>313</v>
      </c>
      <c r="C231" s="2" t="s">
        <v>87</v>
      </c>
      <c r="D231" s="2" t="s">
        <v>88</v>
      </c>
      <c r="E231" s="2" t="s">
        <v>89</v>
      </c>
      <c r="F231" s="2" t="s">
        <v>104</v>
      </c>
    </row>
    <row r="232" spans="1:6" x14ac:dyDescent="0.25">
      <c r="A232" s="2" t="s">
        <v>236</v>
      </c>
      <c r="B232" s="2" t="s">
        <v>313</v>
      </c>
      <c r="C232" s="2" t="s">
        <v>87</v>
      </c>
      <c r="D232" s="2" t="s">
        <v>88</v>
      </c>
      <c r="E232" s="2" t="s">
        <v>89</v>
      </c>
      <c r="F232" s="2" t="s">
        <v>104</v>
      </c>
    </row>
    <row r="233" spans="1:6" x14ac:dyDescent="0.25">
      <c r="A233" s="2" t="s">
        <v>50</v>
      </c>
      <c r="B233" s="2" t="s">
        <v>313</v>
      </c>
      <c r="C233" s="2" t="s">
        <v>87</v>
      </c>
      <c r="D233" s="2" t="s">
        <v>88</v>
      </c>
      <c r="E233" s="2" t="s">
        <v>89</v>
      </c>
      <c r="F233" s="2" t="s">
        <v>104</v>
      </c>
    </row>
    <row r="234" spans="1:6" x14ac:dyDescent="0.25">
      <c r="A234" s="2" t="s">
        <v>49</v>
      </c>
      <c r="B234" s="2" t="s">
        <v>313</v>
      </c>
      <c r="C234" s="2" t="s">
        <v>87</v>
      </c>
      <c r="D234" s="2" t="s">
        <v>88</v>
      </c>
      <c r="E234" s="2" t="s">
        <v>89</v>
      </c>
      <c r="F234" s="2" t="s">
        <v>104</v>
      </c>
    </row>
    <row r="235" spans="1:6" x14ac:dyDescent="0.25">
      <c r="A235" s="2" t="s">
        <v>64</v>
      </c>
      <c r="B235" s="2" t="s">
        <v>313</v>
      </c>
      <c r="C235" s="2" t="s">
        <v>87</v>
      </c>
      <c r="D235" s="2" t="s">
        <v>88</v>
      </c>
      <c r="E235" s="2" t="s">
        <v>89</v>
      </c>
      <c r="F235" s="2" t="s">
        <v>104</v>
      </c>
    </row>
    <row r="236" spans="1:6" x14ac:dyDescent="0.25">
      <c r="A236" s="2" t="s">
        <v>63</v>
      </c>
      <c r="B236" s="2" t="s">
        <v>313</v>
      </c>
      <c r="C236" s="2" t="s">
        <v>87</v>
      </c>
      <c r="D236" s="2" t="s">
        <v>88</v>
      </c>
      <c r="E236" s="2" t="s">
        <v>89</v>
      </c>
      <c r="F236" s="2" t="s">
        <v>110</v>
      </c>
    </row>
    <row r="237" spans="1:6" x14ac:dyDescent="0.25">
      <c r="A237" s="2" t="s">
        <v>41</v>
      </c>
      <c r="B237" s="2" t="s">
        <v>313</v>
      </c>
      <c r="C237" s="2" t="s">
        <v>87</v>
      </c>
      <c r="D237" s="2" t="s">
        <v>88</v>
      </c>
      <c r="E237" s="2" t="s">
        <v>89</v>
      </c>
      <c r="F237" s="2" t="s">
        <v>104</v>
      </c>
    </row>
    <row r="238" spans="1:6" x14ac:dyDescent="0.25">
      <c r="A238" s="2" t="s">
        <v>39</v>
      </c>
      <c r="B238" s="2" t="s">
        <v>313</v>
      </c>
      <c r="C238" s="2" t="s">
        <v>87</v>
      </c>
      <c r="D238" s="2" t="s">
        <v>88</v>
      </c>
      <c r="E238" s="2" t="s">
        <v>89</v>
      </c>
      <c r="F238" s="2" t="s">
        <v>104</v>
      </c>
    </row>
    <row r="239" spans="1:6" x14ac:dyDescent="0.25">
      <c r="A239" s="2" t="s">
        <v>193</v>
      </c>
      <c r="B239" s="2" t="s">
        <v>313</v>
      </c>
      <c r="C239" s="2" t="s">
        <v>87</v>
      </c>
      <c r="D239" s="2" t="s">
        <v>88</v>
      </c>
      <c r="E239" s="2" t="s">
        <v>89</v>
      </c>
      <c r="F239" s="2" t="s">
        <v>158</v>
      </c>
    </row>
    <row r="240" spans="1:6" x14ac:dyDescent="0.25">
      <c r="A240" s="2" t="s">
        <v>59</v>
      </c>
      <c r="B240" s="2" t="s">
        <v>313</v>
      </c>
      <c r="C240" s="2" t="s">
        <v>87</v>
      </c>
      <c r="D240" s="2" t="s">
        <v>88</v>
      </c>
      <c r="E240" s="2" t="s">
        <v>89</v>
      </c>
      <c r="F240" s="2" t="s">
        <v>110</v>
      </c>
    </row>
    <row r="241" spans="1:6" x14ac:dyDescent="0.25">
      <c r="A241" s="2" t="s">
        <v>62</v>
      </c>
      <c r="B241" s="2" t="s">
        <v>313</v>
      </c>
      <c r="C241" s="2" t="s">
        <v>87</v>
      </c>
      <c r="D241" s="2" t="s">
        <v>88</v>
      </c>
      <c r="E241" s="2" t="s">
        <v>89</v>
      </c>
      <c r="F241" s="2" t="s">
        <v>104</v>
      </c>
    </row>
    <row r="242" spans="1:6" x14ac:dyDescent="0.25">
      <c r="A242" s="2" t="s">
        <v>365</v>
      </c>
      <c r="B242" s="2" t="s">
        <v>314</v>
      </c>
      <c r="C242" s="2" t="s">
        <v>73</v>
      </c>
      <c r="D242" s="2" t="s">
        <v>101</v>
      </c>
      <c r="E242" s="2" t="s">
        <v>102</v>
      </c>
      <c r="F242" s="2" t="s">
        <v>143</v>
      </c>
    </row>
    <row r="243" spans="1:6" x14ac:dyDescent="0.25">
      <c r="A243" s="2" t="s">
        <v>250</v>
      </c>
      <c r="B243" s="2" t="s">
        <v>314</v>
      </c>
      <c r="C243" s="2" t="s">
        <v>73</v>
      </c>
      <c r="D243" s="2" t="s">
        <v>101</v>
      </c>
      <c r="E243" s="2" t="s">
        <v>102</v>
      </c>
      <c r="F243" s="2" t="s">
        <v>143</v>
      </c>
    </row>
    <row r="244" spans="1:6" x14ac:dyDescent="0.25">
      <c r="A244" s="2" t="s">
        <v>366</v>
      </c>
      <c r="B244" s="2" t="s">
        <v>314</v>
      </c>
      <c r="C244" s="2" t="s">
        <v>73</v>
      </c>
      <c r="D244" s="2" t="s">
        <v>101</v>
      </c>
      <c r="E244" s="2" t="s">
        <v>102</v>
      </c>
      <c r="F244" s="2" t="s">
        <v>143</v>
      </c>
    </row>
    <row r="245" spans="1:6" x14ac:dyDescent="0.25">
      <c r="A245" s="2" t="s">
        <v>367</v>
      </c>
      <c r="B245" s="2" t="s">
        <v>314</v>
      </c>
      <c r="C245" s="2" t="s">
        <v>73</v>
      </c>
      <c r="D245" s="2" t="s">
        <v>74</v>
      </c>
      <c r="E245" s="2" t="s">
        <v>82</v>
      </c>
      <c r="F245" s="2" t="s">
        <v>83</v>
      </c>
    </row>
    <row r="246" spans="1:6" x14ac:dyDescent="0.25">
      <c r="A246" s="2" t="s">
        <v>368</v>
      </c>
      <c r="B246" s="2" t="s">
        <v>314</v>
      </c>
      <c r="C246" s="2" t="s">
        <v>73</v>
      </c>
      <c r="D246" s="2" t="s">
        <v>74</v>
      </c>
      <c r="E246" s="2" t="s">
        <v>82</v>
      </c>
      <c r="F246" s="2" t="s">
        <v>83</v>
      </c>
    </row>
    <row r="247" spans="1:6" x14ac:dyDescent="0.25">
      <c r="A247" s="2" t="s">
        <v>369</v>
      </c>
      <c r="B247" s="2" t="s">
        <v>314</v>
      </c>
      <c r="C247" s="2" t="s">
        <v>73</v>
      </c>
      <c r="D247" s="2" t="s">
        <v>74</v>
      </c>
      <c r="E247" s="2" t="s">
        <v>82</v>
      </c>
      <c r="F247" s="2" t="s">
        <v>83</v>
      </c>
    </row>
    <row r="248" spans="1:6" x14ac:dyDescent="0.25">
      <c r="A248" s="2" t="s">
        <v>370</v>
      </c>
      <c r="B248" s="2" t="s">
        <v>314</v>
      </c>
      <c r="C248" s="2" t="s">
        <v>73</v>
      </c>
      <c r="D248" s="2" t="s">
        <v>74</v>
      </c>
      <c r="E248" s="2" t="s">
        <v>82</v>
      </c>
      <c r="F248" s="2" t="s">
        <v>83</v>
      </c>
    </row>
    <row r="249" spans="1:6" x14ac:dyDescent="0.25">
      <c r="A249" s="2" t="s">
        <v>371</v>
      </c>
      <c r="B249" s="2" t="s">
        <v>314</v>
      </c>
      <c r="C249" s="2" t="s">
        <v>73</v>
      </c>
      <c r="D249" s="2" t="s">
        <v>74</v>
      </c>
      <c r="E249" s="2" t="s">
        <v>82</v>
      </c>
      <c r="F249" s="2" t="s">
        <v>83</v>
      </c>
    </row>
    <row r="250" spans="1:6" x14ac:dyDescent="0.25">
      <c r="A250" s="2" t="s">
        <v>178</v>
      </c>
      <c r="B250" s="2" t="s">
        <v>314</v>
      </c>
      <c r="C250" s="2" t="s">
        <v>100</v>
      </c>
      <c r="D250" s="2" t="s">
        <v>101</v>
      </c>
      <c r="E250" s="2" t="s">
        <v>102</v>
      </c>
      <c r="F250" s="2" t="s">
        <v>103</v>
      </c>
    </row>
    <row r="251" spans="1:6" x14ac:dyDescent="0.25">
      <c r="A251" s="2" t="s">
        <v>171</v>
      </c>
      <c r="B251" s="2" t="s">
        <v>314</v>
      </c>
      <c r="C251" s="2" t="s">
        <v>100</v>
      </c>
      <c r="D251" s="2" t="s">
        <v>101</v>
      </c>
      <c r="E251" s="2" t="s">
        <v>102</v>
      </c>
      <c r="F251" s="2" t="s">
        <v>170</v>
      </c>
    </row>
    <row r="252" spans="1:6" x14ac:dyDescent="0.25">
      <c r="A252" s="2" t="s">
        <v>287</v>
      </c>
      <c r="B252" s="2" t="s">
        <v>314</v>
      </c>
      <c r="C252" s="2" t="s">
        <v>87</v>
      </c>
      <c r="D252" s="2" t="s">
        <v>88</v>
      </c>
      <c r="E252" s="2" t="s">
        <v>89</v>
      </c>
      <c r="F252" s="2" t="s">
        <v>104</v>
      </c>
    </row>
    <row r="253" spans="1:6" x14ac:dyDescent="0.25">
      <c r="A253" s="2" t="s">
        <v>372</v>
      </c>
      <c r="B253" s="2" t="s">
        <v>314</v>
      </c>
      <c r="C253" s="2" t="s">
        <v>73</v>
      </c>
      <c r="D253" s="2" t="s">
        <v>74</v>
      </c>
      <c r="E253" s="2" t="s">
        <v>92</v>
      </c>
      <c r="F253" s="2" t="s">
        <v>174</v>
      </c>
    </row>
    <row r="254" spans="1:6" x14ac:dyDescent="0.25">
      <c r="A254" s="2" t="s">
        <v>127</v>
      </c>
      <c r="B254" s="2" t="s">
        <v>314</v>
      </c>
      <c r="C254" s="2" t="s">
        <v>73</v>
      </c>
      <c r="D254" s="2" t="s">
        <v>101</v>
      </c>
      <c r="E254" s="2" t="s">
        <v>102</v>
      </c>
      <c r="F254" s="2" t="s">
        <v>116</v>
      </c>
    </row>
    <row r="255" spans="1:6" x14ac:dyDescent="0.25">
      <c r="A255" s="2" t="s">
        <v>373</v>
      </c>
      <c r="B255" s="2" t="s">
        <v>314</v>
      </c>
      <c r="C255" s="2" t="s">
        <v>87</v>
      </c>
      <c r="D255" s="2" t="s">
        <v>88</v>
      </c>
      <c r="E255" s="2" t="s">
        <v>89</v>
      </c>
      <c r="F255" s="2" t="s">
        <v>104</v>
      </c>
    </row>
    <row r="256" spans="1:6" x14ac:dyDescent="0.25">
      <c r="A256" s="2" t="s">
        <v>203</v>
      </c>
      <c r="B256" s="2" t="s">
        <v>314</v>
      </c>
      <c r="C256" s="2" t="s">
        <v>73</v>
      </c>
      <c r="D256" s="2" t="s">
        <v>101</v>
      </c>
      <c r="E256" s="2" t="s">
        <v>102</v>
      </c>
      <c r="F256" s="2" t="s">
        <v>143</v>
      </c>
    </row>
    <row r="257" spans="1:6" x14ac:dyDescent="0.25">
      <c r="A257" s="2" t="s">
        <v>374</v>
      </c>
      <c r="B257" s="2" t="s">
        <v>314</v>
      </c>
      <c r="C257" s="2" t="s">
        <v>87</v>
      </c>
      <c r="D257" s="2" t="s">
        <v>88</v>
      </c>
      <c r="E257" s="2" t="s">
        <v>89</v>
      </c>
      <c r="F257" s="2" t="s">
        <v>271</v>
      </c>
    </row>
    <row r="258" spans="1:6" x14ac:dyDescent="0.25">
      <c r="A258" s="2" t="s">
        <v>197</v>
      </c>
      <c r="B258" s="2" t="s">
        <v>314</v>
      </c>
      <c r="C258" s="2" t="s">
        <v>73</v>
      </c>
      <c r="D258" s="2" t="s">
        <v>101</v>
      </c>
      <c r="E258" s="2" t="s">
        <v>102</v>
      </c>
      <c r="F258" s="2" t="s">
        <v>143</v>
      </c>
    </row>
    <row r="259" spans="1:6" x14ac:dyDescent="0.25">
      <c r="A259" s="2" t="s">
        <v>375</v>
      </c>
      <c r="B259" s="2" t="s">
        <v>314</v>
      </c>
      <c r="C259" s="2" t="s">
        <v>73</v>
      </c>
      <c r="D259" s="2" t="s">
        <v>101</v>
      </c>
      <c r="E259" s="2" t="s">
        <v>102</v>
      </c>
      <c r="F259" s="2" t="s">
        <v>116</v>
      </c>
    </row>
    <row r="260" spans="1:6" x14ac:dyDescent="0.25">
      <c r="A260" s="2" t="s">
        <v>211</v>
      </c>
      <c r="B260" s="2" t="s">
        <v>313</v>
      </c>
      <c r="C260" s="2" t="s">
        <v>73</v>
      </c>
      <c r="D260" s="2" t="s">
        <v>101</v>
      </c>
      <c r="E260" s="2" t="s">
        <v>102</v>
      </c>
      <c r="F260" s="2" t="s">
        <v>143</v>
      </c>
    </row>
    <row r="261" spans="1:6" x14ac:dyDescent="0.25">
      <c r="A261" s="2" t="s">
        <v>179</v>
      </c>
      <c r="B261" s="2" t="s">
        <v>313</v>
      </c>
      <c r="C261" s="2" t="s">
        <v>73</v>
      </c>
      <c r="D261" s="2" t="s">
        <v>101</v>
      </c>
      <c r="E261" s="2" t="s">
        <v>102</v>
      </c>
      <c r="F261" s="2" t="s">
        <v>143</v>
      </c>
    </row>
    <row r="262" spans="1:6" x14ac:dyDescent="0.25">
      <c r="A262" s="2" t="s">
        <v>130</v>
      </c>
      <c r="B262" s="2" t="s">
        <v>313</v>
      </c>
      <c r="C262" s="2" t="s">
        <v>78</v>
      </c>
      <c r="D262" s="2" t="s">
        <v>79</v>
      </c>
      <c r="E262" s="2" t="s">
        <v>79</v>
      </c>
      <c r="F262" s="2" t="s">
        <v>129</v>
      </c>
    </row>
    <row r="263" spans="1:6" x14ac:dyDescent="0.25">
      <c r="A263" s="2" t="s">
        <v>376</v>
      </c>
      <c r="B263" s="2" t="s">
        <v>313</v>
      </c>
      <c r="C263" s="2" t="s">
        <v>78</v>
      </c>
      <c r="D263" s="2" t="s">
        <v>79</v>
      </c>
      <c r="E263" s="2" t="s">
        <v>79</v>
      </c>
      <c r="F263" s="2" t="s">
        <v>377</v>
      </c>
    </row>
    <row r="264" spans="1:6" x14ac:dyDescent="0.25">
      <c r="A264" s="2" t="s">
        <v>81</v>
      </c>
      <c r="B264" s="2" t="s">
        <v>313</v>
      </c>
      <c r="C264" s="2" t="s">
        <v>78</v>
      </c>
      <c r="D264" s="2" t="s">
        <v>79</v>
      </c>
      <c r="E264" s="2" t="s">
        <v>79</v>
      </c>
      <c r="F264" s="2" t="s">
        <v>80</v>
      </c>
    </row>
    <row r="265" spans="1:6" x14ac:dyDescent="0.25">
      <c r="A265" s="2" t="s">
        <v>161</v>
      </c>
      <c r="B265" s="2" t="s">
        <v>313</v>
      </c>
      <c r="C265" s="2" t="s">
        <v>78</v>
      </c>
      <c r="D265" s="2" t="s">
        <v>79</v>
      </c>
      <c r="E265" s="2" t="s">
        <v>79</v>
      </c>
      <c r="F265" s="2" t="s">
        <v>160</v>
      </c>
    </row>
    <row r="266" spans="1:6" x14ac:dyDescent="0.25">
      <c r="A266" s="2" t="s">
        <v>134</v>
      </c>
      <c r="B266" s="2" t="s">
        <v>313</v>
      </c>
      <c r="C266" s="2" t="s">
        <v>78</v>
      </c>
      <c r="D266" s="2" t="s">
        <v>79</v>
      </c>
      <c r="E266" s="2" t="s">
        <v>79</v>
      </c>
      <c r="F266" s="2" t="s">
        <v>80</v>
      </c>
    </row>
    <row r="267" spans="1:6" x14ac:dyDescent="0.25">
      <c r="A267" s="2" t="s">
        <v>123</v>
      </c>
      <c r="B267" s="2" t="s">
        <v>313</v>
      </c>
      <c r="C267" s="2" t="s">
        <v>78</v>
      </c>
      <c r="D267" s="2" t="s">
        <v>79</v>
      </c>
      <c r="E267" s="2" t="s">
        <v>79</v>
      </c>
      <c r="F267" s="2" t="s">
        <v>80</v>
      </c>
    </row>
  </sheetData>
  <autoFilter ref="A1:F136" xr:uid="{1D94868D-6E25-4C01-A21D-DB85B9F5AF57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6348C-F1C4-40CA-8C1B-0D22D47B4120}">
  <sheetPr>
    <tabColor rgb="FF92D050"/>
  </sheetPr>
  <dimension ref="A28:K265"/>
  <sheetViews>
    <sheetView zoomScale="90" zoomScaleNormal="90" workbookViewId="0">
      <pane ySplit="28" topLeftCell="A29" activePane="bottomLeft" state="frozen"/>
      <selection pane="bottomLeft" activeCell="M18" sqref="M18"/>
    </sheetView>
  </sheetViews>
  <sheetFormatPr baseColWidth="10" defaultRowHeight="15.75" x14ac:dyDescent="0.25"/>
  <cols>
    <col min="1" max="1" width="11.42578125" style="1"/>
    <col min="2" max="2" width="11.85546875" style="1" bestFit="1" customWidth="1"/>
    <col min="3" max="4" width="18.28515625" style="1" customWidth="1"/>
    <col min="5" max="6" width="15.28515625" style="1" customWidth="1"/>
    <col min="7" max="7" width="13.28515625" style="1" customWidth="1"/>
    <col min="8" max="8" width="12.42578125" style="1" customWidth="1"/>
    <col min="9" max="16384" width="11.42578125" style="1"/>
  </cols>
  <sheetData>
    <row r="28" spans="1:11" ht="24.75" customHeight="1" x14ac:dyDescent="0.25">
      <c r="A28" s="4" t="s">
        <v>65</v>
      </c>
      <c r="B28" s="4" t="s">
        <v>0</v>
      </c>
      <c r="C28" s="4" t="s">
        <v>1</v>
      </c>
      <c r="D28" s="4" t="s">
        <v>2</v>
      </c>
      <c r="E28" s="4" t="s">
        <v>3</v>
      </c>
      <c r="F28" s="4" t="s">
        <v>4</v>
      </c>
      <c r="G28" s="4" t="s">
        <v>5</v>
      </c>
      <c r="H28" s="4" t="s">
        <v>6</v>
      </c>
      <c r="I28" s="5" t="s">
        <v>66</v>
      </c>
      <c r="J28" s="5" t="s">
        <v>296</v>
      </c>
      <c r="K28" s="5" t="s">
        <v>69</v>
      </c>
    </row>
    <row r="29" spans="1:11" x14ac:dyDescent="0.25">
      <c r="A29" s="6">
        <v>1</v>
      </c>
      <c r="B29" s="7" t="s">
        <v>36</v>
      </c>
      <c r="C29" s="8">
        <v>45280</v>
      </c>
      <c r="D29" s="7">
        <v>2115</v>
      </c>
      <c r="E29" s="9">
        <v>314</v>
      </c>
      <c r="F29" s="10">
        <v>36.4</v>
      </c>
      <c r="G29" s="10">
        <v>78.900000000000006</v>
      </c>
      <c r="H29" s="10">
        <v>56.367761999999999</v>
      </c>
      <c r="I29" s="6" t="s">
        <v>68</v>
      </c>
      <c r="J29" s="6" t="s">
        <v>303</v>
      </c>
      <c r="K29" s="11" t="str">
        <f>VLOOKUP(SCADA[[#This Row],[Puits]],Puits!$A$1:$F$267,3,FALSE)</f>
        <v>Sud</v>
      </c>
    </row>
    <row r="30" spans="1:11" x14ac:dyDescent="0.25">
      <c r="A30" s="6">
        <v>1</v>
      </c>
      <c r="B30" s="7" t="s">
        <v>36</v>
      </c>
      <c r="C30" s="8">
        <v>45280</v>
      </c>
      <c r="D30" s="7">
        <v>2115</v>
      </c>
      <c r="E30" s="9">
        <v>221</v>
      </c>
      <c r="F30" s="10">
        <v>37.6</v>
      </c>
      <c r="G30" s="10">
        <v>79</v>
      </c>
      <c r="H30" s="10">
        <v>56.701183</v>
      </c>
      <c r="I30" s="6" t="s">
        <v>68</v>
      </c>
      <c r="J30" s="6" t="s">
        <v>303</v>
      </c>
      <c r="K30" s="11" t="str">
        <f>VLOOKUP(SCADA[[#This Row],[Puits]],Puits!$A$1:$F$267,3,FALSE)</f>
        <v>Sud</v>
      </c>
    </row>
    <row r="31" spans="1:11" x14ac:dyDescent="0.25">
      <c r="A31" s="6">
        <v>1</v>
      </c>
      <c r="B31" s="7" t="s">
        <v>36</v>
      </c>
      <c r="C31" s="8">
        <v>45280</v>
      </c>
      <c r="D31" s="7">
        <v>2115</v>
      </c>
      <c r="E31" s="9">
        <v>193</v>
      </c>
      <c r="F31" s="10">
        <v>42.8</v>
      </c>
      <c r="G31" s="10">
        <v>79.099999999999994</v>
      </c>
      <c r="H31" s="10">
        <v>58.191771000000003</v>
      </c>
      <c r="I31" s="6" t="s">
        <v>68</v>
      </c>
      <c r="J31" s="6" t="s">
        <v>303</v>
      </c>
      <c r="K31" s="11" t="str">
        <f>VLOOKUP(SCADA[[#This Row],[Puits]],Puits!$A$1:$F$267,3,FALSE)</f>
        <v>Sud</v>
      </c>
    </row>
    <row r="32" spans="1:11" x14ac:dyDescent="0.25">
      <c r="A32" s="6">
        <v>2</v>
      </c>
      <c r="B32" s="7" t="s">
        <v>7</v>
      </c>
      <c r="C32" s="8">
        <v>45280</v>
      </c>
      <c r="D32" s="7">
        <v>2220</v>
      </c>
      <c r="E32" s="9">
        <v>339</v>
      </c>
      <c r="F32" s="10">
        <v>39.9</v>
      </c>
      <c r="G32" s="10">
        <v>82.43</v>
      </c>
      <c r="H32" s="10">
        <v>52.611872499999997</v>
      </c>
      <c r="I32" s="6" t="s">
        <v>68</v>
      </c>
      <c r="J32" s="6" t="s">
        <v>298</v>
      </c>
      <c r="K32" s="11" t="str">
        <f>VLOOKUP(SCADA[[#This Row],[Puits]],Puits!$A$1:$F$267,3,FALSE)</f>
        <v>Nord</v>
      </c>
    </row>
    <row r="33" spans="1:11" x14ac:dyDescent="0.25">
      <c r="A33" s="6">
        <v>2</v>
      </c>
      <c r="B33" s="7" t="s">
        <v>7</v>
      </c>
      <c r="C33" s="8">
        <v>45280</v>
      </c>
      <c r="D33" s="7">
        <v>2220</v>
      </c>
      <c r="E33" s="9">
        <v>264</v>
      </c>
      <c r="F33" s="10">
        <v>47.3</v>
      </c>
      <c r="G33" s="10">
        <v>83.6</v>
      </c>
      <c r="H33" s="10">
        <v>60.055006000000006</v>
      </c>
      <c r="I33" s="6" t="s">
        <v>68</v>
      </c>
      <c r="J33" s="6" t="s">
        <v>298</v>
      </c>
      <c r="K33" s="11" t="str">
        <f>VLOOKUP(SCADA[[#This Row],[Puits]],Puits!$A$1:$F$267,3,FALSE)</f>
        <v>Nord</v>
      </c>
    </row>
    <row r="34" spans="1:11" x14ac:dyDescent="0.25">
      <c r="A34" s="6">
        <v>2</v>
      </c>
      <c r="B34" s="7" t="s">
        <v>7</v>
      </c>
      <c r="C34" s="8">
        <v>45280</v>
      </c>
      <c r="D34" s="7">
        <v>2220</v>
      </c>
      <c r="E34" s="9">
        <v>137</v>
      </c>
      <c r="F34" s="10">
        <v>56.5</v>
      </c>
      <c r="G34" s="10">
        <v>84.75</v>
      </c>
      <c r="H34" s="10">
        <v>70.234153000000006</v>
      </c>
      <c r="I34" s="6" t="s">
        <v>68</v>
      </c>
      <c r="J34" s="6" t="s">
        <v>298</v>
      </c>
      <c r="K34" s="11" t="str">
        <f>VLOOKUP(SCADA[[#This Row],[Puits]],Puits!$A$1:$F$267,3,FALSE)</f>
        <v>Nord</v>
      </c>
    </row>
    <row r="35" spans="1:11" x14ac:dyDescent="0.25">
      <c r="A35" s="6">
        <v>3</v>
      </c>
      <c r="B35" s="7" t="s">
        <v>8</v>
      </c>
      <c r="C35" s="8">
        <v>45281</v>
      </c>
      <c r="D35" s="7">
        <v>2190</v>
      </c>
      <c r="E35" s="9">
        <v>926</v>
      </c>
      <c r="F35" s="10">
        <v>41.8</v>
      </c>
      <c r="G35" s="10">
        <v>86.18</v>
      </c>
      <c r="H35" s="10">
        <v>56.652150500000005</v>
      </c>
      <c r="I35" s="6" t="s">
        <v>68</v>
      </c>
      <c r="J35" s="6" t="s">
        <v>298</v>
      </c>
      <c r="K35" s="11" t="str">
        <f>VLOOKUP(SCADA[[#This Row],[Puits]],Puits!$A$1:$F$267,3,FALSE)</f>
        <v>Nord</v>
      </c>
    </row>
    <row r="36" spans="1:11" x14ac:dyDescent="0.25">
      <c r="A36" s="6">
        <v>3</v>
      </c>
      <c r="B36" s="7" t="s">
        <v>8</v>
      </c>
      <c r="C36" s="8">
        <v>45281</v>
      </c>
      <c r="D36" s="7">
        <v>2190</v>
      </c>
      <c r="E36" s="9">
        <v>698</v>
      </c>
      <c r="F36" s="10">
        <v>49.2</v>
      </c>
      <c r="G36" s="10">
        <v>87.16</v>
      </c>
      <c r="H36" s="10">
        <v>61.888821499999999</v>
      </c>
      <c r="I36" s="6" t="s">
        <v>68</v>
      </c>
      <c r="J36" s="6" t="s">
        <v>298</v>
      </c>
      <c r="K36" s="11" t="str">
        <f>VLOOKUP(SCADA[[#This Row],[Puits]],Puits!$A$1:$F$267,3,FALSE)</f>
        <v>Nord</v>
      </c>
    </row>
    <row r="37" spans="1:11" x14ac:dyDescent="0.25">
      <c r="A37" s="6">
        <v>3</v>
      </c>
      <c r="B37" s="7" t="s">
        <v>8</v>
      </c>
      <c r="C37" s="8">
        <v>45281</v>
      </c>
      <c r="D37" s="7">
        <v>2190</v>
      </c>
      <c r="E37" s="9">
        <v>279</v>
      </c>
      <c r="F37" s="10">
        <v>59.7</v>
      </c>
      <c r="G37" s="10">
        <v>88.28</v>
      </c>
      <c r="H37" s="10">
        <v>70.665638999999999</v>
      </c>
      <c r="I37" s="6" t="s">
        <v>68</v>
      </c>
      <c r="J37" s="6" t="s">
        <v>298</v>
      </c>
      <c r="K37" s="11" t="str">
        <f>VLOOKUP(SCADA[[#This Row],[Puits]],Puits!$A$1:$F$267,3,FALSE)</f>
        <v>Nord</v>
      </c>
    </row>
    <row r="38" spans="1:11" x14ac:dyDescent="0.25">
      <c r="A38" s="6">
        <v>4</v>
      </c>
      <c r="B38" s="7" t="s">
        <v>37</v>
      </c>
      <c r="C38" s="8">
        <v>45281</v>
      </c>
      <c r="D38" s="7">
        <v>2040</v>
      </c>
      <c r="E38" s="9">
        <v>384</v>
      </c>
      <c r="F38" s="10">
        <v>34.799999999999997</v>
      </c>
      <c r="G38" s="10">
        <v>80.599999999999994</v>
      </c>
      <c r="H38" s="10">
        <v>56.612924499999998</v>
      </c>
      <c r="I38" s="6" t="s">
        <v>68</v>
      </c>
      <c r="J38" s="6" t="s">
        <v>297</v>
      </c>
      <c r="K38" s="11" t="str">
        <f>VLOOKUP(SCADA[[#This Row],[Puits]],Puits!$A$1:$F$267,3,FALSE)</f>
        <v>Sud</v>
      </c>
    </row>
    <row r="39" spans="1:11" x14ac:dyDescent="0.25">
      <c r="A39" s="6">
        <v>4</v>
      </c>
      <c r="B39" s="7" t="s">
        <v>37</v>
      </c>
      <c r="C39" s="8">
        <v>45281</v>
      </c>
      <c r="D39" s="7">
        <v>2040</v>
      </c>
      <c r="E39" s="9">
        <v>316</v>
      </c>
      <c r="F39" s="10">
        <v>40.799999999999997</v>
      </c>
      <c r="G39" s="10">
        <v>81.2</v>
      </c>
      <c r="H39" s="10">
        <v>58.466352999999998</v>
      </c>
      <c r="I39" s="6" t="s">
        <v>68</v>
      </c>
      <c r="J39" s="6" t="s">
        <v>297</v>
      </c>
      <c r="K39" s="11" t="str">
        <f>VLOOKUP(SCADA[[#This Row],[Puits]],Puits!$A$1:$F$267,3,FALSE)</f>
        <v>Sud</v>
      </c>
    </row>
    <row r="40" spans="1:11" x14ac:dyDescent="0.25">
      <c r="A40" s="6">
        <v>4</v>
      </c>
      <c r="B40" s="7" t="s">
        <v>37</v>
      </c>
      <c r="C40" s="8">
        <v>45281</v>
      </c>
      <c r="D40" s="7">
        <v>2040</v>
      </c>
      <c r="E40" s="9">
        <v>250</v>
      </c>
      <c r="F40" s="10">
        <v>47.9</v>
      </c>
      <c r="G40" s="10">
        <v>81.599999999999994</v>
      </c>
      <c r="H40" s="10">
        <v>61.251398999999999</v>
      </c>
      <c r="I40" s="6" t="s">
        <v>68</v>
      </c>
      <c r="J40" s="6" t="s">
        <v>297</v>
      </c>
      <c r="K40" s="11" t="str">
        <f>VLOOKUP(SCADA[[#This Row],[Puits]],Puits!$A$1:$F$267,3,FALSE)</f>
        <v>Sud</v>
      </c>
    </row>
    <row r="41" spans="1:11" x14ac:dyDescent="0.25">
      <c r="A41" s="6">
        <v>5</v>
      </c>
      <c r="B41" s="7" t="s">
        <v>9</v>
      </c>
      <c r="C41" s="8">
        <v>45282</v>
      </c>
      <c r="D41" s="7">
        <v>2030</v>
      </c>
      <c r="E41" s="9">
        <v>364</v>
      </c>
      <c r="F41" s="10">
        <v>35.200000000000003</v>
      </c>
      <c r="G41" s="10">
        <v>84.5</v>
      </c>
      <c r="H41" s="10">
        <v>50.454442500000006</v>
      </c>
      <c r="I41" s="6" t="s">
        <v>68</v>
      </c>
      <c r="J41" s="6" t="s">
        <v>297</v>
      </c>
      <c r="K41" s="11" t="str">
        <f>VLOOKUP(SCADA[[#This Row],[Puits]],Puits!$A$1:$F$267,3,FALSE)</f>
        <v>Nord</v>
      </c>
    </row>
    <row r="42" spans="1:11" x14ac:dyDescent="0.25">
      <c r="A42" s="6">
        <v>5</v>
      </c>
      <c r="B42" s="7" t="s">
        <v>9</v>
      </c>
      <c r="C42" s="8">
        <v>45282</v>
      </c>
      <c r="D42" s="7">
        <v>2030</v>
      </c>
      <c r="E42" s="9">
        <v>304</v>
      </c>
      <c r="F42" s="10">
        <v>42.9</v>
      </c>
      <c r="G42" s="10">
        <v>85.5</v>
      </c>
      <c r="H42" s="10">
        <v>55.700919999999996</v>
      </c>
      <c r="I42" s="6" t="s">
        <v>68</v>
      </c>
      <c r="J42" s="6" t="s">
        <v>297</v>
      </c>
      <c r="K42" s="11" t="str">
        <f>VLOOKUP(SCADA[[#This Row],[Puits]],Puits!$A$1:$F$267,3,FALSE)</f>
        <v>Nord</v>
      </c>
    </row>
    <row r="43" spans="1:11" x14ac:dyDescent="0.25">
      <c r="A43" s="6">
        <v>5</v>
      </c>
      <c r="B43" s="7" t="s">
        <v>9</v>
      </c>
      <c r="C43" s="8">
        <v>45282</v>
      </c>
      <c r="D43" s="7">
        <v>2030</v>
      </c>
      <c r="E43" s="9">
        <v>244</v>
      </c>
      <c r="F43" s="10">
        <v>50.1</v>
      </c>
      <c r="G43" s="10">
        <v>86.3</v>
      </c>
      <c r="H43" s="10">
        <v>60.329588000000001</v>
      </c>
      <c r="I43" s="6" t="s">
        <v>68</v>
      </c>
      <c r="J43" s="6" t="s">
        <v>297</v>
      </c>
      <c r="K43" s="11" t="str">
        <f>VLOOKUP(SCADA[[#This Row],[Puits]],Puits!$A$1:$F$267,3,FALSE)</f>
        <v>Nord</v>
      </c>
    </row>
    <row r="44" spans="1:11" x14ac:dyDescent="0.25">
      <c r="A44" s="6">
        <v>6</v>
      </c>
      <c r="B44" s="7" t="s">
        <v>38</v>
      </c>
      <c r="C44" s="8">
        <v>45282</v>
      </c>
      <c r="D44" s="7">
        <v>2170</v>
      </c>
      <c r="E44" s="9">
        <v>503</v>
      </c>
      <c r="F44" s="10">
        <v>35.4</v>
      </c>
      <c r="G44" s="10">
        <v>81.25</v>
      </c>
      <c r="H44" s="10">
        <v>57.171894999999999</v>
      </c>
      <c r="I44" s="6" t="s">
        <v>68</v>
      </c>
      <c r="J44" s="6" t="s">
        <v>298</v>
      </c>
      <c r="K44" s="11" t="str">
        <f>VLOOKUP(SCADA[[#This Row],[Puits]],Puits!$A$1:$F$267,3,FALSE)</f>
        <v>Sud</v>
      </c>
    </row>
    <row r="45" spans="1:11" x14ac:dyDescent="0.25">
      <c r="A45" s="6">
        <v>6</v>
      </c>
      <c r="B45" s="7" t="s">
        <v>38</v>
      </c>
      <c r="C45" s="8">
        <v>45282</v>
      </c>
      <c r="D45" s="7">
        <v>2170</v>
      </c>
      <c r="E45" s="9">
        <v>425</v>
      </c>
      <c r="F45" s="10">
        <v>44.2</v>
      </c>
      <c r="G45" s="10">
        <v>81.95</v>
      </c>
      <c r="H45" s="10">
        <v>59.525455000000001</v>
      </c>
      <c r="I45" s="6" t="s">
        <v>68</v>
      </c>
      <c r="J45" s="6" t="s">
        <v>298</v>
      </c>
      <c r="K45" s="11" t="str">
        <f>VLOOKUP(SCADA[[#This Row],[Puits]],Puits!$A$1:$F$267,3,FALSE)</f>
        <v>Sud</v>
      </c>
    </row>
    <row r="46" spans="1:11" x14ac:dyDescent="0.25">
      <c r="A46" s="6">
        <v>6</v>
      </c>
      <c r="B46" s="7" t="s">
        <v>38</v>
      </c>
      <c r="C46" s="8">
        <v>45282</v>
      </c>
      <c r="D46" s="7">
        <v>2170</v>
      </c>
      <c r="E46" s="9">
        <v>285</v>
      </c>
      <c r="F46" s="10">
        <v>49</v>
      </c>
      <c r="G46" s="10">
        <v>82.82</v>
      </c>
      <c r="H46" s="10">
        <v>62.673341499999999</v>
      </c>
      <c r="I46" s="6" t="s">
        <v>68</v>
      </c>
      <c r="J46" s="6" t="s">
        <v>298</v>
      </c>
      <c r="K46" s="11" t="str">
        <f>VLOOKUP(SCADA[[#This Row],[Puits]],Puits!$A$1:$F$267,3,FALSE)</f>
        <v>Sud</v>
      </c>
    </row>
    <row r="47" spans="1:11" x14ac:dyDescent="0.25">
      <c r="A47" s="6">
        <v>7</v>
      </c>
      <c r="B47" s="7" t="s">
        <v>39</v>
      </c>
      <c r="C47" s="8">
        <v>45283</v>
      </c>
      <c r="D47" s="7">
        <v>1970</v>
      </c>
      <c r="E47" s="9">
        <v>482</v>
      </c>
      <c r="F47" s="10">
        <v>39.9</v>
      </c>
      <c r="G47" s="10">
        <v>82.2</v>
      </c>
      <c r="H47" s="10">
        <v>55.622467999999998</v>
      </c>
      <c r="I47" s="6" t="s">
        <v>68</v>
      </c>
      <c r="J47" s="6" t="s">
        <v>297</v>
      </c>
      <c r="K47" s="11" t="str">
        <f>VLOOKUP(SCADA[[#This Row],[Puits]],Puits!$A$1:$F$267,3,FALSE)</f>
        <v>Sud</v>
      </c>
    </row>
    <row r="48" spans="1:11" x14ac:dyDescent="0.25">
      <c r="A48" s="6">
        <v>7</v>
      </c>
      <c r="B48" s="7" t="s">
        <v>39</v>
      </c>
      <c r="C48" s="8">
        <v>45283</v>
      </c>
      <c r="D48" s="7">
        <v>1970</v>
      </c>
      <c r="E48" s="9">
        <v>378</v>
      </c>
      <c r="F48" s="10">
        <v>48.5</v>
      </c>
      <c r="G48" s="10">
        <v>83.4</v>
      </c>
      <c r="H48" s="10">
        <v>61.731917500000002</v>
      </c>
      <c r="I48" s="6" t="s">
        <v>68</v>
      </c>
      <c r="J48" s="6" t="s">
        <v>297</v>
      </c>
      <c r="K48" s="11" t="str">
        <f>VLOOKUP(SCADA[[#This Row],[Puits]],Puits!$A$1:$F$267,3,FALSE)</f>
        <v>Sud</v>
      </c>
    </row>
    <row r="49" spans="1:11" x14ac:dyDescent="0.25">
      <c r="A49" s="6">
        <v>7</v>
      </c>
      <c r="B49" s="7" t="s">
        <v>39</v>
      </c>
      <c r="C49" s="8">
        <v>45283</v>
      </c>
      <c r="D49" s="7">
        <v>1970</v>
      </c>
      <c r="E49" s="9">
        <v>225</v>
      </c>
      <c r="F49" s="10">
        <v>54.3</v>
      </c>
      <c r="G49" s="10">
        <v>84.5</v>
      </c>
      <c r="H49" s="10">
        <v>67.851173500000002</v>
      </c>
      <c r="I49" s="6" t="s">
        <v>68</v>
      </c>
      <c r="J49" s="6" t="s">
        <v>297</v>
      </c>
      <c r="K49" s="11" t="str">
        <f>VLOOKUP(SCADA[[#This Row],[Puits]],Puits!$A$1:$F$267,3,FALSE)</f>
        <v>Sud</v>
      </c>
    </row>
    <row r="50" spans="1:11" x14ac:dyDescent="0.25">
      <c r="A50" s="6">
        <v>8</v>
      </c>
      <c r="B50" s="7" t="s">
        <v>40</v>
      </c>
      <c r="C50" s="8">
        <v>45283</v>
      </c>
      <c r="D50" s="7">
        <v>2140</v>
      </c>
      <c r="E50" s="9">
        <v>490</v>
      </c>
      <c r="F50" s="10">
        <v>42.8</v>
      </c>
      <c r="G50" s="10">
        <v>89.52</v>
      </c>
      <c r="H50" s="10">
        <v>65.447104667573697</v>
      </c>
      <c r="I50" s="6" t="s">
        <v>68</v>
      </c>
      <c r="J50" s="6" t="s">
        <v>303</v>
      </c>
      <c r="K50" s="11" t="str">
        <f>VLOOKUP(SCADA[[#This Row],[Puits]],Puits!$A$1:$F$267,3,FALSE)</f>
        <v>Centre</v>
      </c>
    </row>
    <row r="51" spans="1:11" x14ac:dyDescent="0.25">
      <c r="A51" s="6">
        <v>8</v>
      </c>
      <c r="B51" s="7" t="s">
        <v>40</v>
      </c>
      <c r="C51" s="8">
        <v>45283</v>
      </c>
      <c r="D51" s="7">
        <v>2140</v>
      </c>
      <c r="E51" s="9">
        <v>333</v>
      </c>
      <c r="F51" s="10">
        <v>50.7</v>
      </c>
      <c r="G51" s="10">
        <v>90.346999999999994</v>
      </c>
      <c r="H51" s="10">
        <v>68.987424643207177</v>
      </c>
      <c r="I51" s="6" t="s">
        <v>68</v>
      </c>
      <c r="J51" s="6" t="s">
        <v>303</v>
      </c>
      <c r="K51" s="11" t="str">
        <f>VLOOKUP(SCADA[[#This Row],[Puits]],Puits!$A$1:$F$267,3,FALSE)</f>
        <v>Centre</v>
      </c>
    </row>
    <row r="52" spans="1:11" x14ac:dyDescent="0.25">
      <c r="A52" s="6">
        <v>8</v>
      </c>
      <c r="B52" s="7" t="s">
        <v>40</v>
      </c>
      <c r="C52" s="8">
        <v>45283</v>
      </c>
      <c r="D52" s="7">
        <v>2140</v>
      </c>
      <c r="E52" s="9">
        <v>227</v>
      </c>
      <c r="F52" s="10">
        <v>55.9</v>
      </c>
      <c r="G52" s="10">
        <v>91.057000000000002</v>
      </c>
      <c r="H52" s="10">
        <v>72.217549488156408</v>
      </c>
      <c r="I52" s="6" t="s">
        <v>68</v>
      </c>
      <c r="J52" s="6" t="s">
        <v>303</v>
      </c>
      <c r="K52" s="11" t="str">
        <f>VLOOKUP(SCADA[[#This Row],[Puits]],Puits!$A$1:$F$267,3,FALSE)</f>
        <v>Centre</v>
      </c>
    </row>
    <row r="53" spans="1:11" x14ac:dyDescent="0.25">
      <c r="A53" s="6">
        <v>9</v>
      </c>
      <c r="B53" s="7" t="s">
        <v>10</v>
      </c>
      <c r="C53" s="8">
        <v>45284</v>
      </c>
      <c r="D53" s="7">
        <v>2090</v>
      </c>
      <c r="E53" s="9">
        <v>282</v>
      </c>
      <c r="F53" s="10">
        <v>35.1</v>
      </c>
      <c r="G53" s="10">
        <v>86.19</v>
      </c>
      <c r="H53" s="10">
        <v>42.913243999999999</v>
      </c>
      <c r="I53" s="6" t="s">
        <v>68</v>
      </c>
      <c r="J53" s="6" t="s">
        <v>297</v>
      </c>
      <c r="K53" s="11" t="str">
        <f>VLOOKUP(SCADA[[#This Row],[Puits]],Puits!$A$1:$F$267,3,FALSE)</f>
        <v>Nord</v>
      </c>
    </row>
    <row r="54" spans="1:11" x14ac:dyDescent="0.25">
      <c r="A54" s="6">
        <v>9</v>
      </c>
      <c r="B54" s="7" t="s">
        <v>10</v>
      </c>
      <c r="C54" s="8">
        <v>45284</v>
      </c>
      <c r="D54" s="7">
        <v>2090</v>
      </c>
      <c r="E54" s="9">
        <v>194</v>
      </c>
      <c r="F54" s="10">
        <v>40.9</v>
      </c>
      <c r="G54" s="10">
        <v>87.41</v>
      </c>
      <c r="H54" s="10">
        <v>49.307082000000001</v>
      </c>
      <c r="I54" s="6" t="s">
        <v>68</v>
      </c>
      <c r="J54" s="6" t="s">
        <v>297</v>
      </c>
      <c r="K54" s="11" t="str">
        <f>VLOOKUP(SCADA[[#This Row],[Puits]],Puits!$A$1:$F$267,3,FALSE)</f>
        <v>Nord</v>
      </c>
    </row>
    <row r="55" spans="1:11" x14ac:dyDescent="0.25">
      <c r="A55" s="6">
        <v>9</v>
      </c>
      <c r="B55" s="7" t="s">
        <v>10</v>
      </c>
      <c r="C55" s="8">
        <v>45284</v>
      </c>
      <c r="D55" s="7">
        <v>2090</v>
      </c>
      <c r="E55" s="9">
        <v>149</v>
      </c>
      <c r="F55" s="10">
        <v>44.3</v>
      </c>
      <c r="G55" s="10">
        <v>87.94</v>
      </c>
      <c r="H55" s="10">
        <v>52.651098499999996</v>
      </c>
      <c r="I55" s="6" t="s">
        <v>68</v>
      </c>
      <c r="J55" s="6" t="s">
        <v>297</v>
      </c>
      <c r="K55" s="11" t="str">
        <f>VLOOKUP(SCADA[[#This Row],[Puits]],Puits!$A$1:$F$267,3,FALSE)</f>
        <v>Nord</v>
      </c>
    </row>
    <row r="56" spans="1:11" x14ac:dyDescent="0.25">
      <c r="A56" s="6">
        <v>10</v>
      </c>
      <c r="B56" s="7" t="s">
        <v>41</v>
      </c>
      <c r="C56" s="8">
        <v>45284</v>
      </c>
      <c r="D56" s="7">
        <v>2000</v>
      </c>
      <c r="E56" s="9">
        <v>275</v>
      </c>
      <c r="F56" s="10">
        <v>38</v>
      </c>
      <c r="G56" s="10">
        <v>79.400000000000006</v>
      </c>
      <c r="H56" s="10">
        <v>49.130565000000004</v>
      </c>
      <c r="I56" s="6" t="s">
        <v>68</v>
      </c>
      <c r="J56" s="6" t="s">
        <v>297</v>
      </c>
      <c r="K56" s="11" t="str">
        <f>VLOOKUP(SCADA[[#This Row],[Puits]],Puits!$A$1:$F$267,3,FALSE)</f>
        <v>Sud</v>
      </c>
    </row>
    <row r="57" spans="1:11" x14ac:dyDescent="0.25">
      <c r="A57" s="6">
        <v>10</v>
      </c>
      <c r="B57" s="7" t="s">
        <v>41</v>
      </c>
      <c r="C57" s="8">
        <v>45284</v>
      </c>
      <c r="D57" s="7">
        <v>2000</v>
      </c>
      <c r="E57" s="9">
        <v>180</v>
      </c>
      <c r="F57" s="10">
        <v>43.7</v>
      </c>
      <c r="G57" s="10">
        <v>80.3</v>
      </c>
      <c r="H57" s="10">
        <v>54.828141500000001</v>
      </c>
      <c r="I57" s="6" t="s">
        <v>68</v>
      </c>
      <c r="J57" s="6" t="s">
        <v>297</v>
      </c>
      <c r="K57" s="11" t="str">
        <f>VLOOKUP(SCADA[[#This Row],[Puits]],Puits!$A$1:$F$267,3,FALSE)</f>
        <v>Sud</v>
      </c>
    </row>
    <row r="58" spans="1:11" x14ac:dyDescent="0.25">
      <c r="A58" s="6">
        <v>10</v>
      </c>
      <c r="B58" s="7" t="s">
        <v>41</v>
      </c>
      <c r="C58" s="8">
        <v>45284</v>
      </c>
      <c r="D58" s="7">
        <v>2000</v>
      </c>
      <c r="E58" s="9">
        <v>119</v>
      </c>
      <c r="F58" s="10">
        <v>49.7</v>
      </c>
      <c r="G58" s="10">
        <v>81.3</v>
      </c>
      <c r="H58" s="10">
        <v>60.015780000000007</v>
      </c>
      <c r="I58" s="6" t="s">
        <v>68</v>
      </c>
      <c r="J58" s="6" t="s">
        <v>297</v>
      </c>
      <c r="K58" s="11" t="str">
        <f>VLOOKUP(SCADA[[#This Row],[Puits]],Puits!$A$1:$F$267,3,FALSE)</f>
        <v>Sud</v>
      </c>
    </row>
    <row r="59" spans="1:11" x14ac:dyDescent="0.25">
      <c r="A59" s="6">
        <v>11</v>
      </c>
      <c r="B59" s="7" t="s">
        <v>11</v>
      </c>
      <c r="C59" s="8">
        <v>45285</v>
      </c>
      <c r="D59" s="7">
        <v>2145</v>
      </c>
      <c r="E59" s="9">
        <v>418</v>
      </c>
      <c r="F59" s="10">
        <v>35.6</v>
      </c>
      <c r="G59" s="10">
        <v>80</v>
      </c>
      <c r="H59" s="10">
        <v>48.983467500000003</v>
      </c>
      <c r="I59" s="6" t="s">
        <v>68</v>
      </c>
      <c r="J59" s="6" t="s">
        <v>298</v>
      </c>
      <c r="K59" s="11" t="str">
        <f>VLOOKUP(SCADA[[#This Row],[Puits]],Puits!$A$1:$F$267,3,FALSE)</f>
        <v>Sud</v>
      </c>
    </row>
    <row r="60" spans="1:11" x14ac:dyDescent="0.25">
      <c r="A60" s="6">
        <v>11</v>
      </c>
      <c r="B60" s="7" t="s">
        <v>11</v>
      </c>
      <c r="C60" s="8">
        <v>45285</v>
      </c>
      <c r="D60" s="7">
        <v>2145</v>
      </c>
      <c r="E60" s="9">
        <v>314</v>
      </c>
      <c r="F60" s="10">
        <v>40.6</v>
      </c>
      <c r="G60" s="10">
        <v>80.400000000000006</v>
      </c>
      <c r="H60" s="10">
        <v>50.748637500000001</v>
      </c>
      <c r="I60" s="6" t="s">
        <v>68</v>
      </c>
      <c r="J60" s="6" t="s">
        <v>298</v>
      </c>
      <c r="K60" s="11" t="str">
        <f>VLOOKUP(SCADA[[#This Row],[Puits]],Puits!$A$1:$F$267,3,FALSE)</f>
        <v>Sud</v>
      </c>
    </row>
    <row r="61" spans="1:11" x14ac:dyDescent="0.25">
      <c r="A61" s="6">
        <v>11</v>
      </c>
      <c r="B61" s="7" t="s">
        <v>11</v>
      </c>
      <c r="C61" s="8">
        <v>45285</v>
      </c>
      <c r="D61" s="7">
        <v>2145</v>
      </c>
      <c r="E61" s="9">
        <v>194</v>
      </c>
      <c r="F61" s="10">
        <v>45.1</v>
      </c>
      <c r="G61" s="10">
        <v>80.900000000000006</v>
      </c>
      <c r="H61" s="10">
        <v>54.180912499999998</v>
      </c>
      <c r="I61" s="6" t="s">
        <v>68</v>
      </c>
      <c r="J61" s="6" t="s">
        <v>298</v>
      </c>
      <c r="K61" s="11" t="str">
        <f>VLOOKUP(SCADA[[#This Row],[Puits]],Puits!$A$1:$F$267,3,FALSE)</f>
        <v>Sud</v>
      </c>
    </row>
    <row r="62" spans="1:11" x14ac:dyDescent="0.25">
      <c r="A62" s="6">
        <v>12</v>
      </c>
      <c r="B62" s="7" t="s">
        <v>12</v>
      </c>
      <c r="C62" s="8">
        <v>45285</v>
      </c>
      <c r="D62" s="7">
        <v>2050</v>
      </c>
      <c r="E62" s="9">
        <v>316</v>
      </c>
      <c r="F62" s="10">
        <v>34.700000000000003</v>
      </c>
      <c r="G62" s="10">
        <v>81.14</v>
      </c>
      <c r="H62" s="10">
        <v>41.108848000000002</v>
      </c>
      <c r="I62" s="6" t="s">
        <v>68</v>
      </c>
      <c r="J62" s="6" t="s">
        <v>297</v>
      </c>
      <c r="K62" s="11" t="str">
        <f>VLOOKUP(SCADA[[#This Row],[Puits]],Puits!$A$1:$F$267,3,FALSE)</f>
        <v>Nord</v>
      </c>
    </row>
    <row r="63" spans="1:11" x14ac:dyDescent="0.25">
      <c r="A63" s="6">
        <v>12</v>
      </c>
      <c r="B63" s="7" t="s">
        <v>12</v>
      </c>
      <c r="C63" s="8">
        <v>45285</v>
      </c>
      <c r="D63" s="7">
        <v>2050</v>
      </c>
      <c r="E63" s="9">
        <v>292</v>
      </c>
      <c r="F63" s="10">
        <v>41.7</v>
      </c>
      <c r="G63" s="10">
        <v>81.94</v>
      </c>
      <c r="H63" s="10">
        <v>48.659852999999998</v>
      </c>
      <c r="I63" s="6" t="s">
        <v>68</v>
      </c>
      <c r="J63" s="6" t="s">
        <v>297</v>
      </c>
      <c r="K63" s="11" t="str">
        <f>VLOOKUP(SCADA[[#This Row],[Puits]],Puits!$A$1:$F$267,3,FALSE)</f>
        <v>Nord</v>
      </c>
    </row>
    <row r="64" spans="1:11" x14ac:dyDescent="0.25">
      <c r="A64" s="6">
        <v>12</v>
      </c>
      <c r="B64" s="7" t="s">
        <v>12</v>
      </c>
      <c r="C64" s="8">
        <v>45285</v>
      </c>
      <c r="D64" s="7">
        <v>2050</v>
      </c>
      <c r="E64" s="9">
        <v>222</v>
      </c>
      <c r="F64" s="10">
        <v>47.3</v>
      </c>
      <c r="G64" s="10">
        <v>83.03</v>
      </c>
      <c r="H64" s="10">
        <v>55.112530000000007</v>
      </c>
      <c r="I64" s="6" t="s">
        <v>68</v>
      </c>
      <c r="J64" s="6" t="s">
        <v>297</v>
      </c>
      <c r="K64" s="11" t="str">
        <f>VLOOKUP(SCADA[[#This Row],[Puits]],Puits!$A$1:$F$267,3,FALSE)</f>
        <v>Nord</v>
      </c>
    </row>
    <row r="65" spans="1:11" x14ac:dyDescent="0.25">
      <c r="A65" s="6">
        <v>13</v>
      </c>
      <c r="B65" s="7" t="s">
        <v>42</v>
      </c>
      <c r="C65" s="8">
        <v>45286</v>
      </c>
      <c r="D65" s="7">
        <v>1999</v>
      </c>
      <c r="E65" s="9">
        <v>298</v>
      </c>
      <c r="F65" s="10">
        <v>41.5</v>
      </c>
      <c r="G65" s="10">
        <v>86.08</v>
      </c>
      <c r="H65" s="10">
        <v>52.857035000000003</v>
      </c>
      <c r="I65" s="6" t="s">
        <v>68</v>
      </c>
      <c r="J65" s="6" t="s">
        <v>297</v>
      </c>
      <c r="K65" s="11" t="str">
        <f>VLOOKUP(SCADA[[#This Row],[Puits]],Puits!$A$1:$F$267,3,FALSE)</f>
        <v>Centre</v>
      </c>
    </row>
    <row r="66" spans="1:11" x14ac:dyDescent="0.25">
      <c r="A66" s="6">
        <v>13</v>
      </c>
      <c r="B66" s="7" t="s">
        <v>42</v>
      </c>
      <c r="C66" s="8">
        <v>45286</v>
      </c>
      <c r="D66" s="7">
        <v>1999</v>
      </c>
      <c r="E66" s="9">
        <v>225</v>
      </c>
      <c r="F66" s="10">
        <v>47.9</v>
      </c>
      <c r="G66" s="10">
        <v>87.15</v>
      </c>
      <c r="H66" s="10">
        <v>58.103512500000001</v>
      </c>
      <c r="I66" s="6" t="s">
        <v>68</v>
      </c>
      <c r="J66" s="6" t="s">
        <v>297</v>
      </c>
      <c r="K66" s="11" t="str">
        <f>VLOOKUP(SCADA[[#This Row],[Puits]],Puits!$A$1:$F$267,3,FALSE)</f>
        <v>Centre</v>
      </c>
    </row>
    <row r="67" spans="1:11" x14ac:dyDescent="0.25">
      <c r="A67" s="6">
        <v>13</v>
      </c>
      <c r="B67" s="7" t="s">
        <v>42</v>
      </c>
      <c r="C67" s="8">
        <v>45286</v>
      </c>
      <c r="D67" s="7">
        <v>1999</v>
      </c>
      <c r="E67" s="9">
        <v>172</v>
      </c>
      <c r="F67" s="10">
        <v>53.2</v>
      </c>
      <c r="G67" s="10">
        <v>87.87</v>
      </c>
      <c r="H67" s="10">
        <v>62.977342999999998</v>
      </c>
      <c r="I67" s="6" t="s">
        <v>68</v>
      </c>
      <c r="J67" s="6" t="s">
        <v>297</v>
      </c>
      <c r="K67" s="11" t="str">
        <f>VLOOKUP(SCADA[[#This Row],[Puits]],Puits!$A$1:$F$267,3,FALSE)</f>
        <v>Centre</v>
      </c>
    </row>
    <row r="68" spans="1:11" x14ac:dyDescent="0.25">
      <c r="A68" s="6">
        <v>14</v>
      </c>
      <c r="B68" s="7" t="s">
        <v>43</v>
      </c>
      <c r="C68" s="8">
        <v>45286</v>
      </c>
      <c r="D68" s="7">
        <v>2045</v>
      </c>
      <c r="E68" s="9">
        <v>501</v>
      </c>
      <c r="F68" s="10">
        <v>35.299999999999997</v>
      </c>
      <c r="G68" s="10">
        <v>76</v>
      </c>
      <c r="H68" s="10">
        <v>42.481757999999999</v>
      </c>
      <c r="I68" s="6" t="s">
        <v>68</v>
      </c>
      <c r="J68" s="6" t="s">
        <v>297</v>
      </c>
      <c r="K68" s="11" t="str">
        <f>VLOOKUP(SCADA[[#This Row],[Puits]],Puits!$A$1:$F$267,3,FALSE)</f>
        <v>Sud</v>
      </c>
    </row>
    <row r="69" spans="1:11" x14ac:dyDescent="0.25">
      <c r="A69" s="6">
        <v>14</v>
      </c>
      <c r="B69" s="7" t="s">
        <v>43</v>
      </c>
      <c r="C69" s="8">
        <v>45286</v>
      </c>
      <c r="D69" s="7">
        <v>2045</v>
      </c>
      <c r="E69" s="9">
        <v>393</v>
      </c>
      <c r="F69" s="10">
        <v>43.6</v>
      </c>
      <c r="G69" s="10">
        <v>77.900000000000006</v>
      </c>
      <c r="H69" s="10">
        <v>51.503738000000006</v>
      </c>
      <c r="I69" s="6" t="s">
        <v>68</v>
      </c>
      <c r="J69" s="6" t="s">
        <v>297</v>
      </c>
      <c r="K69" s="11" t="str">
        <f>VLOOKUP(SCADA[[#This Row],[Puits]],Puits!$A$1:$F$267,3,FALSE)</f>
        <v>Sud</v>
      </c>
    </row>
    <row r="70" spans="1:11" x14ac:dyDescent="0.25">
      <c r="A70" s="6">
        <v>14</v>
      </c>
      <c r="B70" s="7" t="s">
        <v>43</v>
      </c>
      <c r="C70" s="8">
        <v>45286</v>
      </c>
      <c r="D70" s="7">
        <v>2045</v>
      </c>
      <c r="E70" s="9">
        <v>351</v>
      </c>
      <c r="F70" s="10">
        <v>47.3</v>
      </c>
      <c r="G70" s="10">
        <v>78.099999999999994</v>
      </c>
      <c r="H70" s="10">
        <v>55.524403</v>
      </c>
      <c r="I70" s="6" t="s">
        <v>68</v>
      </c>
      <c r="J70" s="6" t="s">
        <v>297</v>
      </c>
      <c r="K70" s="11" t="str">
        <f>VLOOKUP(SCADA[[#This Row],[Puits]],Puits!$A$1:$F$267,3,FALSE)</f>
        <v>Sud</v>
      </c>
    </row>
    <row r="71" spans="1:11" x14ac:dyDescent="0.25">
      <c r="A71" s="6">
        <v>15</v>
      </c>
      <c r="B71" s="7" t="s">
        <v>13</v>
      </c>
      <c r="C71" s="8">
        <v>45287</v>
      </c>
      <c r="D71" s="7">
        <v>2155</v>
      </c>
      <c r="E71" s="9">
        <v>817</v>
      </c>
      <c r="F71" s="10">
        <v>35.9</v>
      </c>
      <c r="G71" s="10">
        <v>84.67</v>
      </c>
      <c r="H71" s="10">
        <v>49.493405500000001</v>
      </c>
      <c r="I71" s="6" t="s">
        <v>68</v>
      </c>
      <c r="J71" s="6" t="s">
        <v>298</v>
      </c>
      <c r="K71" s="11" t="str">
        <f>VLOOKUP(SCADA[[#This Row],[Puits]],Puits!$A$1:$F$267,3,FALSE)</f>
        <v>Nord</v>
      </c>
    </row>
    <row r="72" spans="1:11" x14ac:dyDescent="0.25">
      <c r="A72" s="6">
        <v>15</v>
      </c>
      <c r="B72" s="7" t="s">
        <v>13</v>
      </c>
      <c r="C72" s="8">
        <v>45287</v>
      </c>
      <c r="D72" s="7">
        <v>2155</v>
      </c>
      <c r="E72" s="9">
        <v>639</v>
      </c>
      <c r="F72" s="10">
        <v>48.6</v>
      </c>
      <c r="G72" s="10">
        <v>87.31</v>
      </c>
      <c r="H72" s="10">
        <v>59.074356000000002</v>
      </c>
      <c r="I72" s="6" t="s">
        <v>68</v>
      </c>
      <c r="J72" s="6" t="s">
        <v>298</v>
      </c>
      <c r="K72" s="11" t="str">
        <f>VLOOKUP(SCADA[[#This Row],[Puits]],Puits!$A$1:$F$267,3,FALSE)</f>
        <v>Nord</v>
      </c>
    </row>
    <row r="73" spans="1:11" x14ac:dyDescent="0.25">
      <c r="A73" s="6">
        <v>15</v>
      </c>
      <c r="B73" s="7" t="s">
        <v>13</v>
      </c>
      <c r="C73" s="8">
        <v>45287</v>
      </c>
      <c r="D73" s="7">
        <v>2155</v>
      </c>
      <c r="E73" s="9">
        <v>485</v>
      </c>
      <c r="F73" s="10">
        <v>55.1</v>
      </c>
      <c r="G73" s="10">
        <v>88.85</v>
      </c>
      <c r="H73" s="10">
        <v>65.419161500000001</v>
      </c>
      <c r="I73" s="6" t="s">
        <v>68</v>
      </c>
      <c r="J73" s="6" t="s">
        <v>298</v>
      </c>
      <c r="K73" s="11" t="str">
        <f>VLOOKUP(SCADA[[#This Row],[Puits]],Puits!$A$1:$F$267,3,FALSE)</f>
        <v>Nord</v>
      </c>
    </row>
    <row r="74" spans="1:11" x14ac:dyDescent="0.25">
      <c r="A74" s="6">
        <v>16</v>
      </c>
      <c r="B74" s="7" t="s">
        <v>14</v>
      </c>
      <c r="C74" s="8">
        <v>45287</v>
      </c>
      <c r="D74" s="7">
        <v>2145</v>
      </c>
      <c r="E74" s="9">
        <v>481</v>
      </c>
      <c r="F74" s="10">
        <v>39.700000000000003</v>
      </c>
      <c r="G74" s="10">
        <v>77.099999999999994</v>
      </c>
      <c r="H74" s="10">
        <v>41.726657499999995</v>
      </c>
      <c r="I74" s="6" t="s">
        <v>68</v>
      </c>
      <c r="J74" s="6" t="s">
        <v>298</v>
      </c>
      <c r="K74" s="11" t="str">
        <f>VLOOKUP(SCADA[[#This Row],[Puits]],Puits!$A$1:$F$267,3,FALSE)</f>
        <v>Sud</v>
      </c>
    </row>
    <row r="75" spans="1:11" x14ac:dyDescent="0.25">
      <c r="A75" s="6">
        <v>16</v>
      </c>
      <c r="B75" s="7" t="s">
        <v>14</v>
      </c>
      <c r="C75" s="8">
        <v>45287</v>
      </c>
      <c r="D75" s="7">
        <v>2145</v>
      </c>
      <c r="E75" s="9">
        <v>309</v>
      </c>
      <c r="F75" s="10">
        <v>42.9</v>
      </c>
      <c r="G75" s="10">
        <v>79.099999999999994</v>
      </c>
      <c r="H75" s="10">
        <v>49.267856000000002</v>
      </c>
      <c r="I75" s="6" t="s">
        <v>68</v>
      </c>
      <c r="J75" s="6" t="s">
        <v>298</v>
      </c>
      <c r="K75" s="11" t="str">
        <f>VLOOKUP(SCADA[[#This Row],[Puits]],Puits!$A$1:$F$267,3,FALSE)</f>
        <v>Sud</v>
      </c>
    </row>
    <row r="76" spans="1:11" x14ac:dyDescent="0.25">
      <c r="A76" s="6">
        <v>16</v>
      </c>
      <c r="B76" s="7" t="s">
        <v>14</v>
      </c>
      <c r="C76" s="8">
        <v>45287</v>
      </c>
      <c r="D76" s="7">
        <v>2145</v>
      </c>
      <c r="E76" s="9">
        <v>287</v>
      </c>
      <c r="F76" s="10">
        <v>45.4</v>
      </c>
      <c r="G76" s="10">
        <v>80.099999999999994</v>
      </c>
      <c r="H76" s="10">
        <v>53.249294999999996</v>
      </c>
      <c r="I76" s="6" t="s">
        <v>68</v>
      </c>
      <c r="J76" s="6" t="s">
        <v>298</v>
      </c>
      <c r="K76" s="11" t="str">
        <f>VLOOKUP(SCADA[[#This Row],[Puits]],Puits!$A$1:$F$267,3,FALSE)</f>
        <v>Sud</v>
      </c>
    </row>
    <row r="77" spans="1:11" x14ac:dyDescent="0.25">
      <c r="A77" s="6">
        <v>17</v>
      </c>
      <c r="B77" s="7" t="s">
        <v>15</v>
      </c>
      <c r="C77" s="8">
        <v>45288</v>
      </c>
      <c r="D77" s="7">
        <v>2060</v>
      </c>
      <c r="E77" s="9">
        <v>261</v>
      </c>
      <c r="F77" s="10">
        <v>37.5</v>
      </c>
      <c r="G77" s="10">
        <v>87.49</v>
      </c>
      <c r="H77" s="10">
        <v>46.973134999999999</v>
      </c>
      <c r="I77" s="6" t="s">
        <v>68</v>
      </c>
      <c r="J77" s="6" t="s">
        <v>297</v>
      </c>
      <c r="K77" s="11" t="str">
        <f>VLOOKUP(SCADA[[#This Row],[Puits]],Puits!$A$1:$F$267,3,FALSE)</f>
        <v>Nord</v>
      </c>
    </row>
    <row r="78" spans="1:11" x14ac:dyDescent="0.25">
      <c r="A78" s="6">
        <v>17</v>
      </c>
      <c r="B78" s="7" t="s">
        <v>15</v>
      </c>
      <c r="C78" s="8">
        <v>45288</v>
      </c>
      <c r="D78" s="7">
        <v>2060</v>
      </c>
      <c r="E78" s="9">
        <v>187</v>
      </c>
      <c r="F78" s="10">
        <v>43.6</v>
      </c>
      <c r="G78" s="10">
        <v>88.02</v>
      </c>
      <c r="H78" s="10">
        <v>51.817546000000007</v>
      </c>
      <c r="I78" s="6" t="s">
        <v>68</v>
      </c>
      <c r="J78" s="6" t="s">
        <v>297</v>
      </c>
      <c r="K78" s="11" t="str">
        <f>VLOOKUP(SCADA[[#This Row],[Puits]],Puits!$A$1:$F$267,3,FALSE)</f>
        <v>Nord</v>
      </c>
    </row>
    <row r="79" spans="1:11" x14ac:dyDescent="0.25">
      <c r="A79" s="6">
        <v>17</v>
      </c>
      <c r="B79" s="7" t="s">
        <v>15</v>
      </c>
      <c r="C79" s="8">
        <v>45288</v>
      </c>
      <c r="D79" s="7">
        <v>2060</v>
      </c>
      <c r="E79" s="9">
        <v>132</v>
      </c>
      <c r="F79" s="10">
        <v>47.3</v>
      </c>
      <c r="G79" s="10">
        <v>88.25</v>
      </c>
      <c r="H79" s="10">
        <v>55.181175500000002</v>
      </c>
      <c r="I79" s="6" t="s">
        <v>68</v>
      </c>
      <c r="J79" s="6" t="s">
        <v>297</v>
      </c>
      <c r="K79" s="11" t="str">
        <f>VLOOKUP(SCADA[[#This Row],[Puits]],Puits!$A$1:$F$267,3,FALSE)</f>
        <v>Nord</v>
      </c>
    </row>
    <row r="80" spans="1:11" x14ac:dyDescent="0.25">
      <c r="A80" s="6">
        <v>18</v>
      </c>
      <c r="B80" s="7" t="s">
        <v>44</v>
      </c>
      <c r="C80" s="8">
        <v>45288</v>
      </c>
      <c r="D80" s="7">
        <v>2140</v>
      </c>
      <c r="E80" s="9">
        <v>665</v>
      </c>
      <c r="F80" s="10">
        <v>37.299999999999997</v>
      </c>
      <c r="G80" s="10">
        <v>78.599999999999994</v>
      </c>
      <c r="H80" s="10">
        <v>47.404621000000006</v>
      </c>
      <c r="I80" s="6" t="s">
        <v>68</v>
      </c>
      <c r="J80" s="6" t="s">
        <v>298</v>
      </c>
      <c r="K80" s="11" t="str">
        <f>VLOOKUP(SCADA[[#This Row],[Puits]],Puits!$A$1:$F$267,3,FALSE)</f>
        <v>Sud</v>
      </c>
    </row>
    <row r="81" spans="1:11" x14ac:dyDescent="0.25">
      <c r="A81" s="6">
        <v>18</v>
      </c>
      <c r="B81" s="7" t="s">
        <v>44</v>
      </c>
      <c r="C81" s="8">
        <v>45288</v>
      </c>
      <c r="D81" s="7">
        <v>2140</v>
      </c>
      <c r="E81" s="9">
        <v>589</v>
      </c>
      <c r="F81" s="10">
        <v>39.4</v>
      </c>
      <c r="G81" s="10">
        <v>80</v>
      </c>
      <c r="H81" s="10">
        <v>51.856772000000007</v>
      </c>
      <c r="I81" s="6" t="s">
        <v>68</v>
      </c>
      <c r="J81" s="6" t="s">
        <v>298</v>
      </c>
      <c r="K81" s="11" t="str">
        <f>VLOOKUP(SCADA[[#This Row],[Puits]],Puits!$A$1:$F$267,3,FALSE)</f>
        <v>Sud</v>
      </c>
    </row>
    <row r="82" spans="1:11" x14ac:dyDescent="0.25">
      <c r="A82" s="6">
        <v>18</v>
      </c>
      <c r="B82" s="7" t="s">
        <v>44</v>
      </c>
      <c r="C82" s="8">
        <v>45288</v>
      </c>
      <c r="D82" s="7">
        <v>2140</v>
      </c>
      <c r="E82" s="9">
        <v>432</v>
      </c>
      <c r="F82" s="10">
        <v>48.4</v>
      </c>
      <c r="G82" s="10">
        <v>81.8</v>
      </c>
      <c r="H82" s="10">
        <v>57.809317500000006</v>
      </c>
      <c r="I82" s="6" t="s">
        <v>68</v>
      </c>
      <c r="J82" s="6" t="s">
        <v>298</v>
      </c>
      <c r="K82" s="11" t="str">
        <f>VLOOKUP(SCADA[[#This Row],[Puits]],Puits!$A$1:$F$267,3,FALSE)</f>
        <v>Sud</v>
      </c>
    </row>
    <row r="83" spans="1:11" x14ac:dyDescent="0.25">
      <c r="A83" s="6">
        <v>19</v>
      </c>
      <c r="B83" s="7" t="s">
        <v>45</v>
      </c>
      <c r="C83" s="8">
        <v>45289</v>
      </c>
      <c r="D83" s="7">
        <v>1946</v>
      </c>
      <c r="E83" s="9">
        <v>428</v>
      </c>
      <c r="F83" s="10">
        <v>37.9</v>
      </c>
      <c r="G83" s="10">
        <v>88.94</v>
      </c>
      <c r="H83" s="10">
        <v>62.104564500000002</v>
      </c>
      <c r="I83" s="6" t="s">
        <v>68</v>
      </c>
      <c r="J83" s="6" t="s">
        <v>297</v>
      </c>
      <c r="K83" s="11" t="str">
        <f>VLOOKUP(SCADA[[#This Row],[Puits]],Puits!$A$1:$F$267,3,FALSE)</f>
        <v>Centre</v>
      </c>
    </row>
    <row r="84" spans="1:11" x14ac:dyDescent="0.25">
      <c r="A84" s="6">
        <v>19</v>
      </c>
      <c r="B84" s="7" t="s">
        <v>45</v>
      </c>
      <c r="C84" s="8">
        <v>45289</v>
      </c>
      <c r="D84" s="7">
        <v>1946</v>
      </c>
      <c r="E84" s="9">
        <v>355</v>
      </c>
      <c r="F84" s="10">
        <v>47.6</v>
      </c>
      <c r="G84" s="10">
        <v>89.74</v>
      </c>
      <c r="H84" s="10">
        <v>65.360322500000009</v>
      </c>
      <c r="I84" s="6" t="s">
        <v>68</v>
      </c>
      <c r="J84" s="6" t="s">
        <v>297</v>
      </c>
      <c r="K84" s="11" t="str">
        <f>VLOOKUP(SCADA[[#This Row],[Puits]],Puits!$A$1:$F$267,3,FALSE)</f>
        <v>Centre</v>
      </c>
    </row>
    <row r="85" spans="1:11" x14ac:dyDescent="0.25">
      <c r="A85" s="6">
        <v>19</v>
      </c>
      <c r="B85" s="7" t="s">
        <v>45</v>
      </c>
      <c r="C85" s="8">
        <v>45289</v>
      </c>
      <c r="D85" s="7">
        <v>1946</v>
      </c>
      <c r="E85" s="9">
        <v>226</v>
      </c>
      <c r="F85" s="10">
        <v>55.9</v>
      </c>
      <c r="G85" s="10">
        <v>90.62</v>
      </c>
      <c r="H85" s="10">
        <v>69.871312500000002</v>
      </c>
      <c r="I85" s="6" t="s">
        <v>68</v>
      </c>
      <c r="J85" s="6" t="s">
        <v>297</v>
      </c>
      <c r="K85" s="11" t="str">
        <f>VLOOKUP(SCADA[[#This Row],[Puits]],Puits!$A$1:$F$267,3,FALSE)</f>
        <v>Centre</v>
      </c>
    </row>
    <row r="86" spans="1:11" x14ac:dyDescent="0.25">
      <c r="A86" s="6">
        <v>20</v>
      </c>
      <c r="B86" s="7" t="s">
        <v>46</v>
      </c>
      <c r="C86" s="8">
        <v>45289</v>
      </c>
      <c r="D86" s="7">
        <v>2160</v>
      </c>
      <c r="E86" s="9">
        <v>557</v>
      </c>
      <c r="F86" s="10">
        <v>36.1</v>
      </c>
      <c r="G86" s="10">
        <v>78.400000000000006</v>
      </c>
      <c r="H86" s="10">
        <v>45.747322500000003</v>
      </c>
      <c r="I86" s="6" t="s">
        <v>68</v>
      </c>
      <c r="J86" s="6" t="s">
        <v>298</v>
      </c>
      <c r="K86" s="11" t="str">
        <f>VLOOKUP(SCADA[[#This Row],[Puits]],Puits!$A$1:$F$267,3,FALSE)</f>
        <v>Sud</v>
      </c>
    </row>
    <row r="87" spans="1:11" x14ac:dyDescent="0.25">
      <c r="A87" s="6">
        <v>20</v>
      </c>
      <c r="B87" s="7" t="s">
        <v>46</v>
      </c>
      <c r="C87" s="8">
        <v>45289</v>
      </c>
      <c r="D87" s="7">
        <v>2160</v>
      </c>
      <c r="E87" s="9">
        <v>454</v>
      </c>
      <c r="F87" s="10">
        <v>42.8</v>
      </c>
      <c r="G87" s="10">
        <v>81</v>
      </c>
      <c r="H87" s="10">
        <v>54.867367500000007</v>
      </c>
      <c r="I87" s="6" t="s">
        <v>68</v>
      </c>
      <c r="J87" s="6" t="s">
        <v>298</v>
      </c>
      <c r="K87" s="11" t="str">
        <f>VLOOKUP(SCADA[[#This Row],[Puits]],Puits!$A$1:$F$267,3,FALSE)</f>
        <v>Sud</v>
      </c>
    </row>
    <row r="88" spans="1:11" x14ac:dyDescent="0.25">
      <c r="A88" s="6">
        <v>20</v>
      </c>
      <c r="B88" s="7" t="s">
        <v>46</v>
      </c>
      <c r="C88" s="8">
        <v>45289</v>
      </c>
      <c r="D88" s="7">
        <v>2160</v>
      </c>
      <c r="E88" s="9">
        <v>319</v>
      </c>
      <c r="F88" s="10">
        <v>49.4</v>
      </c>
      <c r="G88" s="10">
        <v>82</v>
      </c>
      <c r="H88" s="10">
        <v>58.819386999999999</v>
      </c>
      <c r="I88" s="6" t="s">
        <v>68</v>
      </c>
      <c r="J88" s="6" t="s">
        <v>298</v>
      </c>
      <c r="K88" s="11" t="str">
        <f>VLOOKUP(SCADA[[#This Row],[Puits]],Puits!$A$1:$F$267,3,FALSE)</f>
        <v>Sud</v>
      </c>
    </row>
    <row r="89" spans="1:11" x14ac:dyDescent="0.25">
      <c r="A89" s="6">
        <v>21</v>
      </c>
      <c r="B89" s="7" t="s">
        <v>16</v>
      </c>
      <c r="C89" s="8">
        <v>45290</v>
      </c>
      <c r="D89" s="7">
        <v>2115</v>
      </c>
      <c r="E89" s="9">
        <v>285</v>
      </c>
      <c r="F89" s="10">
        <v>35.9</v>
      </c>
      <c r="G89" s="10">
        <v>84.08</v>
      </c>
      <c r="H89" s="10">
        <v>45.8846135</v>
      </c>
      <c r="I89" s="6" t="s">
        <v>68</v>
      </c>
      <c r="J89" s="6" t="s">
        <v>297</v>
      </c>
      <c r="K89" s="11" t="str">
        <f>VLOOKUP(SCADA[[#This Row],[Puits]],Puits!$A$1:$F$267,3,FALSE)</f>
        <v>Nord</v>
      </c>
    </row>
    <row r="90" spans="1:11" x14ac:dyDescent="0.25">
      <c r="A90" s="6">
        <v>21</v>
      </c>
      <c r="B90" s="7" t="s">
        <v>16</v>
      </c>
      <c r="C90" s="8">
        <v>45290</v>
      </c>
      <c r="D90" s="7">
        <v>2115</v>
      </c>
      <c r="E90" s="9">
        <v>216</v>
      </c>
      <c r="F90" s="10">
        <v>43.9</v>
      </c>
      <c r="G90" s="10">
        <v>85.38</v>
      </c>
      <c r="H90" s="10">
        <v>53.788652500000005</v>
      </c>
      <c r="I90" s="6" t="s">
        <v>68</v>
      </c>
      <c r="J90" s="6" t="s">
        <v>297</v>
      </c>
      <c r="K90" s="11" t="str">
        <f>VLOOKUP(SCADA[[#This Row],[Puits]],Puits!$A$1:$F$267,3,FALSE)</f>
        <v>Nord</v>
      </c>
    </row>
    <row r="91" spans="1:11" x14ac:dyDescent="0.25">
      <c r="A91" s="6">
        <v>21</v>
      </c>
      <c r="B91" s="7" t="s">
        <v>16</v>
      </c>
      <c r="C91" s="8">
        <v>45290</v>
      </c>
      <c r="D91" s="7">
        <v>2115</v>
      </c>
      <c r="E91" s="9">
        <v>169</v>
      </c>
      <c r="F91" s="10">
        <v>54.1</v>
      </c>
      <c r="G91" s="10">
        <v>86.32</v>
      </c>
      <c r="H91" s="10">
        <v>64.428705000000008</v>
      </c>
      <c r="I91" s="6" t="s">
        <v>68</v>
      </c>
      <c r="J91" s="6" t="s">
        <v>297</v>
      </c>
      <c r="K91" s="11" t="str">
        <f>VLOOKUP(SCADA[[#This Row],[Puits]],Puits!$A$1:$F$267,3,FALSE)</f>
        <v>Nord</v>
      </c>
    </row>
    <row r="92" spans="1:11" x14ac:dyDescent="0.25">
      <c r="A92" s="6">
        <v>22</v>
      </c>
      <c r="B92" s="7" t="s">
        <v>47</v>
      </c>
      <c r="C92" s="8">
        <v>45291</v>
      </c>
      <c r="D92" s="7">
        <v>2160</v>
      </c>
      <c r="E92" s="9">
        <v>770</v>
      </c>
      <c r="F92" s="10">
        <v>33.9</v>
      </c>
      <c r="G92" s="10">
        <v>80.27</v>
      </c>
      <c r="H92" s="10">
        <v>46.796618000000002</v>
      </c>
      <c r="I92" s="6" t="s">
        <v>68</v>
      </c>
      <c r="J92" s="6" t="s">
        <v>298</v>
      </c>
      <c r="K92" s="11" t="str">
        <f>VLOOKUP(SCADA[[#This Row],[Puits]],Puits!$A$1:$F$267,3,FALSE)</f>
        <v>Sud</v>
      </c>
    </row>
    <row r="93" spans="1:11" x14ac:dyDescent="0.25">
      <c r="A93" s="6">
        <v>22</v>
      </c>
      <c r="B93" s="7" t="s">
        <v>47</v>
      </c>
      <c r="C93" s="8">
        <v>45291</v>
      </c>
      <c r="D93" s="7">
        <v>2160</v>
      </c>
      <c r="E93" s="9">
        <v>597</v>
      </c>
      <c r="F93" s="10">
        <v>43</v>
      </c>
      <c r="G93" s="10">
        <v>81.63</v>
      </c>
      <c r="H93" s="10">
        <v>51.2193495</v>
      </c>
      <c r="I93" s="6" t="s">
        <v>68</v>
      </c>
      <c r="J93" s="6" t="s">
        <v>298</v>
      </c>
      <c r="K93" s="11" t="str">
        <f>VLOOKUP(SCADA[[#This Row],[Puits]],Puits!$A$1:$F$267,3,FALSE)</f>
        <v>Sud</v>
      </c>
    </row>
    <row r="94" spans="1:11" x14ac:dyDescent="0.25">
      <c r="A94" s="6">
        <v>22</v>
      </c>
      <c r="B94" s="7" t="s">
        <v>47</v>
      </c>
      <c r="C94" s="8">
        <v>45291</v>
      </c>
      <c r="D94" s="7">
        <v>2160</v>
      </c>
      <c r="E94" s="9">
        <v>396</v>
      </c>
      <c r="F94" s="10">
        <v>45.1</v>
      </c>
      <c r="G94" s="10">
        <v>82.38</v>
      </c>
      <c r="H94" s="10">
        <v>54.063234500000007</v>
      </c>
      <c r="I94" s="6" t="s">
        <v>68</v>
      </c>
      <c r="J94" s="6" t="s">
        <v>298</v>
      </c>
      <c r="K94" s="11" t="str">
        <f>VLOOKUP(SCADA[[#This Row],[Puits]],Puits!$A$1:$F$267,3,FALSE)</f>
        <v>Sud</v>
      </c>
    </row>
    <row r="95" spans="1:11" x14ac:dyDescent="0.25">
      <c r="A95" s="6">
        <v>23</v>
      </c>
      <c r="B95" s="7" t="s">
        <v>17</v>
      </c>
      <c r="C95" s="8">
        <v>45291</v>
      </c>
      <c r="D95" s="7">
        <v>2080</v>
      </c>
      <c r="E95" s="9">
        <v>484</v>
      </c>
      <c r="F95" s="10">
        <v>34.9</v>
      </c>
      <c r="G95" s="10">
        <v>81.77</v>
      </c>
      <c r="H95" s="10">
        <v>43.011308999999997</v>
      </c>
      <c r="I95" s="6" t="s">
        <v>68</v>
      </c>
      <c r="J95" s="6" t="s">
        <v>297</v>
      </c>
      <c r="K95" s="11" t="str">
        <f>VLOOKUP(SCADA[[#This Row],[Puits]],Puits!$A$1:$F$267,3,FALSE)</f>
        <v>Nord</v>
      </c>
    </row>
    <row r="96" spans="1:11" x14ac:dyDescent="0.25">
      <c r="A96" s="6">
        <v>23</v>
      </c>
      <c r="B96" s="7" t="s">
        <v>17</v>
      </c>
      <c r="C96" s="8">
        <v>45291</v>
      </c>
      <c r="D96" s="7">
        <v>2080</v>
      </c>
      <c r="E96" s="9">
        <v>362</v>
      </c>
      <c r="F96" s="10">
        <v>46.3</v>
      </c>
      <c r="G96" s="10">
        <v>83.89</v>
      </c>
      <c r="H96" s="10">
        <v>54.602592000000001</v>
      </c>
      <c r="I96" s="6" t="s">
        <v>68</v>
      </c>
      <c r="J96" s="6" t="s">
        <v>297</v>
      </c>
      <c r="K96" s="11" t="str">
        <f>VLOOKUP(SCADA[[#This Row],[Puits]],Puits!$A$1:$F$267,3,FALSE)</f>
        <v>Nord</v>
      </c>
    </row>
    <row r="97" spans="1:11" x14ac:dyDescent="0.25">
      <c r="A97" s="6">
        <v>23</v>
      </c>
      <c r="B97" s="7" t="s">
        <v>17</v>
      </c>
      <c r="C97" s="8">
        <v>45291</v>
      </c>
      <c r="D97" s="7">
        <v>2080</v>
      </c>
      <c r="E97" s="9">
        <v>249</v>
      </c>
      <c r="F97" s="10">
        <v>53.9</v>
      </c>
      <c r="G97" s="10">
        <v>85.23</v>
      </c>
      <c r="H97" s="10">
        <v>62.820439</v>
      </c>
      <c r="I97" s="6" t="s">
        <v>68</v>
      </c>
      <c r="J97" s="6" t="s">
        <v>297</v>
      </c>
      <c r="K97" s="11" t="str">
        <f>VLOOKUP(SCADA[[#This Row],[Puits]],Puits!$A$1:$F$267,3,FALSE)</f>
        <v>Nord</v>
      </c>
    </row>
    <row r="98" spans="1:11" x14ac:dyDescent="0.25">
      <c r="A98" s="6">
        <v>24</v>
      </c>
      <c r="B98" s="7" t="s">
        <v>48</v>
      </c>
      <c r="C98" s="8">
        <v>45292</v>
      </c>
      <c r="D98" s="7">
        <v>2140</v>
      </c>
      <c r="E98" s="9">
        <v>675</v>
      </c>
      <c r="F98" s="10">
        <v>41.5</v>
      </c>
      <c r="G98" s="10">
        <v>79.599999999999994</v>
      </c>
      <c r="H98" s="10">
        <v>52.593063950000001</v>
      </c>
      <c r="I98" s="6" t="s">
        <v>68</v>
      </c>
      <c r="J98" s="6" t="s">
        <v>298</v>
      </c>
      <c r="K98" s="11" t="str">
        <f>VLOOKUP(SCADA[[#This Row],[Puits]],Puits!$A$1:$F$267,3,FALSE)</f>
        <v>Sud</v>
      </c>
    </row>
    <row r="99" spans="1:11" x14ac:dyDescent="0.25">
      <c r="A99" s="6">
        <v>24</v>
      </c>
      <c r="B99" s="7" t="s">
        <v>48</v>
      </c>
      <c r="C99" s="8">
        <v>45292</v>
      </c>
      <c r="D99" s="7">
        <v>2140</v>
      </c>
      <c r="E99" s="9">
        <v>548</v>
      </c>
      <c r="F99" s="10">
        <f>+G99-12</f>
        <v>68.5</v>
      </c>
      <c r="G99" s="10">
        <v>80.5</v>
      </c>
      <c r="H99" s="10">
        <v>55.574285549999999</v>
      </c>
      <c r="I99" s="6" t="s">
        <v>68</v>
      </c>
      <c r="J99" s="6" t="s">
        <v>298</v>
      </c>
      <c r="K99" s="11" t="str">
        <f>VLOOKUP(SCADA[[#This Row],[Puits]],Puits!$A$1:$F$267,3,FALSE)</f>
        <v>Sud</v>
      </c>
    </row>
    <row r="100" spans="1:11" x14ac:dyDescent="0.25">
      <c r="A100" s="6">
        <v>24</v>
      </c>
      <c r="B100" s="7" t="s">
        <v>48</v>
      </c>
      <c r="C100" s="8">
        <v>45292</v>
      </c>
      <c r="D100" s="7">
        <v>2140</v>
      </c>
      <c r="E100" s="9">
        <v>448</v>
      </c>
      <c r="F100" s="10">
        <f>+G100-11.5</f>
        <v>69.5</v>
      </c>
      <c r="G100" s="10">
        <v>81</v>
      </c>
      <c r="H100" s="10">
        <v>57.810201750000004</v>
      </c>
      <c r="I100" s="6" t="s">
        <v>68</v>
      </c>
      <c r="J100" s="6" t="s">
        <v>298</v>
      </c>
      <c r="K100" s="11" t="str">
        <f>VLOOKUP(SCADA[[#This Row],[Puits]],Puits!$A$1:$F$267,3,FALSE)</f>
        <v>Sud</v>
      </c>
    </row>
    <row r="101" spans="1:11" x14ac:dyDescent="0.25">
      <c r="A101" s="6">
        <v>25</v>
      </c>
      <c r="B101" s="7" t="s">
        <v>18</v>
      </c>
      <c r="C101" s="8">
        <v>45292</v>
      </c>
      <c r="D101" s="7">
        <v>1980</v>
      </c>
      <c r="E101" s="9">
        <v>449</v>
      </c>
      <c r="F101" s="10">
        <v>34.9</v>
      </c>
      <c r="G101" s="10">
        <v>85</v>
      </c>
      <c r="H101" s="10">
        <v>51.8379519</v>
      </c>
      <c r="I101" s="6" t="s">
        <v>68</v>
      </c>
      <c r="J101" s="6" t="s">
        <v>297</v>
      </c>
      <c r="K101" s="11" t="str">
        <f>VLOOKUP(SCADA[[#This Row],[Puits]],Puits!$A$1:$F$267,3,FALSE)</f>
        <v>Nord</v>
      </c>
    </row>
    <row r="102" spans="1:11" x14ac:dyDescent="0.25">
      <c r="A102" s="6">
        <v>25</v>
      </c>
      <c r="B102" s="7" t="s">
        <v>18</v>
      </c>
      <c r="C102" s="8">
        <v>45292</v>
      </c>
      <c r="D102" s="7">
        <v>1980</v>
      </c>
      <c r="E102" s="9">
        <v>371</v>
      </c>
      <c r="F102" s="10">
        <v>43.8</v>
      </c>
      <c r="G102" s="10">
        <v>86</v>
      </c>
      <c r="H102" s="10">
        <v>57.486582299999995</v>
      </c>
      <c r="I102" s="6" t="s">
        <v>68</v>
      </c>
      <c r="J102" s="6" t="s">
        <v>297</v>
      </c>
      <c r="K102" s="11" t="str">
        <f>VLOOKUP(SCADA[[#This Row],[Puits]],Puits!$A$1:$F$267,3,FALSE)</f>
        <v>Nord</v>
      </c>
    </row>
    <row r="103" spans="1:11" x14ac:dyDescent="0.25">
      <c r="A103" s="6">
        <v>25</v>
      </c>
      <c r="B103" s="7" t="s">
        <v>18</v>
      </c>
      <c r="C103" s="8">
        <v>45292</v>
      </c>
      <c r="D103" s="7">
        <v>1980</v>
      </c>
      <c r="E103" s="9">
        <v>270</v>
      </c>
      <c r="F103" s="10">
        <v>52.6</v>
      </c>
      <c r="G103" s="10">
        <v>87</v>
      </c>
      <c r="H103" s="10">
        <v>63.880518100000003</v>
      </c>
      <c r="I103" s="6" t="s">
        <v>68</v>
      </c>
      <c r="J103" s="6" t="s">
        <v>297</v>
      </c>
      <c r="K103" s="11" t="str">
        <f>VLOOKUP(SCADA[[#This Row],[Puits]],Puits!$A$1:$F$267,3,FALSE)</f>
        <v>Nord</v>
      </c>
    </row>
    <row r="104" spans="1:11" x14ac:dyDescent="0.25">
      <c r="A104" s="6">
        <v>26</v>
      </c>
      <c r="B104" s="7" t="s">
        <v>19</v>
      </c>
      <c r="C104" s="8">
        <v>45293</v>
      </c>
      <c r="D104" s="7">
        <v>2180</v>
      </c>
      <c r="E104" s="9">
        <v>850</v>
      </c>
      <c r="F104" s="10">
        <v>43.1</v>
      </c>
      <c r="G104" s="10">
        <v>84.7</v>
      </c>
      <c r="H104" s="10">
        <v>61.517115449999999</v>
      </c>
      <c r="I104" s="6" t="s">
        <v>68</v>
      </c>
      <c r="J104" s="6" t="s">
        <v>298</v>
      </c>
      <c r="K104" s="11" t="str">
        <f>VLOOKUP(SCADA[[#This Row],[Puits]],Puits!$A$1:$F$267,3,FALSE)</f>
        <v>Sud</v>
      </c>
    </row>
    <row r="105" spans="1:11" x14ac:dyDescent="0.25">
      <c r="A105" s="6">
        <v>26</v>
      </c>
      <c r="B105" s="7" t="s">
        <v>19</v>
      </c>
      <c r="C105" s="8">
        <v>45293</v>
      </c>
      <c r="D105" s="7">
        <v>2180</v>
      </c>
      <c r="E105" s="9">
        <v>770</v>
      </c>
      <c r="F105" s="10">
        <v>47.6</v>
      </c>
      <c r="G105" s="10">
        <v>85.6</v>
      </c>
      <c r="H105" s="10">
        <v>64.547370299999997</v>
      </c>
      <c r="I105" s="6" t="s">
        <v>68</v>
      </c>
      <c r="J105" s="6" t="s">
        <v>298</v>
      </c>
      <c r="K105" s="11" t="str">
        <f>VLOOKUP(SCADA[[#This Row],[Puits]],Puits!$A$1:$F$267,3,FALSE)</f>
        <v>Sud</v>
      </c>
    </row>
    <row r="106" spans="1:11" x14ac:dyDescent="0.25">
      <c r="A106" s="6">
        <v>26</v>
      </c>
      <c r="B106" s="7" t="s">
        <v>19</v>
      </c>
      <c r="C106" s="8">
        <v>45293</v>
      </c>
      <c r="D106" s="7">
        <v>2180</v>
      </c>
      <c r="E106" s="9">
        <v>670</v>
      </c>
      <c r="F106" s="10">
        <v>54</v>
      </c>
      <c r="G106" s="10">
        <v>86.3</v>
      </c>
      <c r="H106" s="10">
        <v>66.802899800000006</v>
      </c>
      <c r="I106" s="6" t="s">
        <v>68</v>
      </c>
      <c r="J106" s="6" t="s">
        <v>298</v>
      </c>
      <c r="K106" s="11" t="str">
        <f>VLOOKUP(SCADA[[#This Row],[Puits]],Puits!$A$1:$F$267,3,FALSE)</f>
        <v>Sud</v>
      </c>
    </row>
    <row r="107" spans="1:11" x14ac:dyDescent="0.25">
      <c r="A107" s="6">
        <v>27</v>
      </c>
      <c r="B107" s="7" t="s">
        <v>20</v>
      </c>
      <c r="C107" s="8">
        <v>45294</v>
      </c>
      <c r="D107" s="7">
        <v>2200</v>
      </c>
      <c r="E107" s="9">
        <v>637</v>
      </c>
      <c r="F107" s="10">
        <v>36.4</v>
      </c>
      <c r="G107" s="10">
        <v>89.5</v>
      </c>
      <c r="H107" s="10">
        <v>62.487973799999999</v>
      </c>
      <c r="I107" s="6" t="s">
        <v>68</v>
      </c>
      <c r="J107" s="6" t="s">
        <v>298</v>
      </c>
      <c r="K107" s="11" t="str">
        <f>VLOOKUP(SCADA[[#This Row],[Puits]],Puits!$A$1:$F$267,3,FALSE)</f>
        <v>Nord</v>
      </c>
    </row>
    <row r="108" spans="1:11" x14ac:dyDescent="0.25">
      <c r="A108" s="6">
        <v>27</v>
      </c>
      <c r="B108" s="7" t="s">
        <v>20</v>
      </c>
      <c r="C108" s="8">
        <v>45294</v>
      </c>
      <c r="D108" s="7">
        <v>2200</v>
      </c>
      <c r="E108" s="9">
        <v>475</v>
      </c>
      <c r="F108" s="10">
        <v>53.8</v>
      </c>
      <c r="G108" s="10">
        <v>91.8</v>
      </c>
      <c r="H108" s="10">
        <v>71.441445250000001</v>
      </c>
      <c r="I108" s="6" t="s">
        <v>68</v>
      </c>
      <c r="J108" s="6" t="s">
        <v>298</v>
      </c>
      <c r="K108" s="11" t="str">
        <f>VLOOKUP(SCADA[[#This Row],[Puits]],Puits!$A$1:$F$267,3,FALSE)</f>
        <v>Nord</v>
      </c>
    </row>
    <row r="109" spans="1:11" x14ac:dyDescent="0.25">
      <c r="A109" s="6">
        <v>27</v>
      </c>
      <c r="B109" s="7" t="s">
        <v>20</v>
      </c>
      <c r="C109" s="8">
        <v>45294</v>
      </c>
      <c r="D109" s="7">
        <v>2200</v>
      </c>
      <c r="E109" s="9">
        <v>330</v>
      </c>
      <c r="F109" s="10">
        <v>63</v>
      </c>
      <c r="G109" s="10">
        <v>93.2</v>
      </c>
      <c r="H109" s="10">
        <v>77.698087950000001</v>
      </c>
      <c r="I109" s="6" t="s">
        <v>68</v>
      </c>
      <c r="J109" s="6" t="s">
        <v>298</v>
      </c>
      <c r="K109" s="11" t="str">
        <f>VLOOKUP(SCADA[[#This Row],[Puits]],Puits!$A$1:$F$267,3,FALSE)</f>
        <v>Nord</v>
      </c>
    </row>
    <row r="110" spans="1:11" x14ac:dyDescent="0.25">
      <c r="A110" s="6">
        <v>28</v>
      </c>
      <c r="B110" s="7" t="s">
        <v>318</v>
      </c>
      <c r="C110" s="8">
        <v>45295</v>
      </c>
      <c r="D110" s="7">
        <v>2165</v>
      </c>
      <c r="E110" s="9">
        <v>621</v>
      </c>
      <c r="F110" s="10">
        <v>36</v>
      </c>
      <c r="G110" s="10">
        <v>85</v>
      </c>
      <c r="H110" s="10">
        <v>66.734253249999995</v>
      </c>
      <c r="I110" s="6" t="s">
        <v>68</v>
      </c>
      <c r="J110" s="6" t="s">
        <v>298</v>
      </c>
      <c r="K110" s="11" t="str">
        <f>VLOOKUP(SCADA[[#This Row],[Puits]],Puits!$A$1:$F$267,3,FALSE)</f>
        <v>Sud</v>
      </c>
    </row>
    <row r="111" spans="1:11" x14ac:dyDescent="0.25">
      <c r="A111" s="6">
        <v>28</v>
      </c>
      <c r="B111" s="7" t="s">
        <v>318</v>
      </c>
      <c r="C111" s="8">
        <v>45295</v>
      </c>
      <c r="D111" s="7">
        <v>2165</v>
      </c>
      <c r="E111" s="9">
        <v>530</v>
      </c>
      <c r="F111" s="10">
        <v>45.4</v>
      </c>
      <c r="G111" s="10">
        <v>85.7</v>
      </c>
      <c r="H111" s="10">
        <v>68.921136200000007</v>
      </c>
      <c r="I111" s="6" t="s">
        <v>68</v>
      </c>
      <c r="J111" s="6" t="s">
        <v>298</v>
      </c>
      <c r="K111" s="11" t="str">
        <f>VLOOKUP(SCADA[[#This Row],[Puits]],Puits!$A$1:$F$267,3,FALSE)</f>
        <v>Sud</v>
      </c>
    </row>
    <row r="112" spans="1:11" x14ac:dyDescent="0.25">
      <c r="A112" s="6">
        <v>28</v>
      </c>
      <c r="B112" s="7" t="s">
        <v>318</v>
      </c>
      <c r="C112" s="8">
        <v>45295</v>
      </c>
      <c r="D112" s="7">
        <v>2165</v>
      </c>
      <c r="E112" s="9">
        <v>319</v>
      </c>
      <c r="F112" s="10">
        <v>58.8</v>
      </c>
      <c r="G112" s="10">
        <v>86.7</v>
      </c>
      <c r="H112" s="10">
        <v>72.8437962</v>
      </c>
      <c r="I112" s="6" t="s">
        <v>68</v>
      </c>
      <c r="J112" s="6" t="s">
        <v>298</v>
      </c>
      <c r="K112" s="11" t="str">
        <f>VLOOKUP(SCADA[[#This Row],[Puits]],Puits!$A$1:$F$267,3,FALSE)</f>
        <v>Sud</v>
      </c>
    </row>
    <row r="113" spans="1:11" x14ac:dyDescent="0.25">
      <c r="A113" s="6">
        <v>29</v>
      </c>
      <c r="B113" s="7" t="s">
        <v>49</v>
      </c>
      <c r="C113" s="8">
        <v>45296</v>
      </c>
      <c r="D113" s="7">
        <v>2190</v>
      </c>
      <c r="E113" s="9">
        <v>921</v>
      </c>
      <c r="F113" s="10">
        <v>42.9</v>
      </c>
      <c r="G113" s="10">
        <v>82.5</v>
      </c>
      <c r="H113" s="10">
        <v>61.870154850000006</v>
      </c>
      <c r="I113" s="6" t="s">
        <v>68</v>
      </c>
      <c r="J113" s="6" t="s">
        <v>298</v>
      </c>
      <c r="K113" s="11" t="str">
        <f>VLOOKUP(SCADA[[#This Row],[Puits]],Puits!$A$1:$F$267,3,FALSE)</f>
        <v>Sud</v>
      </c>
    </row>
    <row r="114" spans="1:11" x14ac:dyDescent="0.25">
      <c r="A114" s="6">
        <v>29</v>
      </c>
      <c r="B114" s="7" t="s">
        <v>49</v>
      </c>
      <c r="C114" s="8">
        <v>45296</v>
      </c>
      <c r="D114" s="7">
        <v>2190</v>
      </c>
      <c r="E114" s="9">
        <v>657</v>
      </c>
      <c r="F114" s="10">
        <v>52.6</v>
      </c>
      <c r="G114" s="10">
        <v>84.2</v>
      </c>
      <c r="H114" s="10">
        <v>66.577346849999998</v>
      </c>
      <c r="I114" s="6" t="s">
        <v>68</v>
      </c>
      <c r="J114" s="6" t="s">
        <v>298</v>
      </c>
      <c r="K114" s="11" t="str">
        <f>VLOOKUP(SCADA[[#This Row],[Puits]],Puits!$A$1:$F$267,3,FALSE)</f>
        <v>Sud</v>
      </c>
    </row>
    <row r="115" spans="1:11" x14ac:dyDescent="0.25">
      <c r="A115" s="6">
        <v>29</v>
      </c>
      <c r="B115" s="7" t="s">
        <v>49</v>
      </c>
      <c r="C115" s="8">
        <v>45296</v>
      </c>
      <c r="D115" s="7">
        <v>2190</v>
      </c>
      <c r="E115" s="9">
        <v>408</v>
      </c>
      <c r="F115" s="10">
        <v>58.3</v>
      </c>
      <c r="G115" s="10">
        <v>85.1</v>
      </c>
      <c r="H115" s="10">
        <v>69.921414499999997</v>
      </c>
      <c r="I115" s="6" t="s">
        <v>68</v>
      </c>
      <c r="J115" s="6" t="s">
        <v>298</v>
      </c>
      <c r="K115" s="11" t="str">
        <f>VLOOKUP(SCADA[[#This Row],[Puits]],Puits!$A$1:$F$267,3,FALSE)</f>
        <v>Sud</v>
      </c>
    </row>
    <row r="116" spans="1:11" x14ac:dyDescent="0.25">
      <c r="A116" s="6">
        <v>30</v>
      </c>
      <c r="B116" s="7" t="s">
        <v>50</v>
      </c>
      <c r="C116" s="8">
        <v>45297</v>
      </c>
      <c r="D116" s="7">
        <v>1908</v>
      </c>
      <c r="E116" s="9">
        <v>965</v>
      </c>
      <c r="F116" s="10">
        <v>43.1</v>
      </c>
      <c r="G116" s="10">
        <v>82.6</v>
      </c>
      <c r="H116" s="10">
        <v>63.145019349999998</v>
      </c>
      <c r="I116" s="6" t="s">
        <v>68</v>
      </c>
      <c r="J116" s="6" t="s">
        <v>298</v>
      </c>
      <c r="K116" s="11" t="str">
        <f>VLOOKUP(SCADA[[#This Row],[Puits]],Puits!$A$1:$F$267,3,FALSE)</f>
        <v>Sud</v>
      </c>
    </row>
    <row r="117" spans="1:11" x14ac:dyDescent="0.25">
      <c r="A117" s="6">
        <v>30</v>
      </c>
      <c r="B117" s="7" t="s">
        <v>50</v>
      </c>
      <c r="C117" s="8">
        <v>45297</v>
      </c>
      <c r="D117" s="7">
        <v>1908</v>
      </c>
      <c r="E117" s="9">
        <v>778</v>
      </c>
      <c r="F117" s="10">
        <v>48.5</v>
      </c>
      <c r="G117" s="10">
        <v>82.8</v>
      </c>
      <c r="H117" s="10">
        <v>64.527756999999994</v>
      </c>
      <c r="I117" s="6" t="s">
        <v>68</v>
      </c>
      <c r="J117" s="6" t="s">
        <v>298</v>
      </c>
      <c r="K117" s="11" t="str">
        <f>VLOOKUP(SCADA[[#This Row],[Puits]],Puits!$A$1:$F$267,3,FALSE)</f>
        <v>Sud</v>
      </c>
    </row>
    <row r="118" spans="1:11" x14ac:dyDescent="0.25">
      <c r="A118" s="6">
        <v>30</v>
      </c>
      <c r="B118" s="7" t="s">
        <v>50</v>
      </c>
      <c r="C118" s="8">
        <v>45297</v>
      </c>
      <c r="D118" s="7">
        <v>1908</v>
      </c>
      <c r="E118" s="9">
        <v>528</v>
      </c>
      <c r="F118" s="10">
        <v>53.6</v>
      </c>
      <c r="G118" s="10">
        <v>83.08</v>
      </c>
      <c r="H118" s="10">
        <v>65.694748349999998</v>
      </c>
      <c r="I118" s="6" t="s">
        <v>68</v>
      </c>
      <c r="J118" s="6" t="s">
        <v>298</v>
      </c>
      <c r="K118" s="11" t="str">
        <f>VLOOKUP(SCADA[[#This Row],[Puits]],Puits!$A$1:$F$267,3,FALSE)</f>
        <v>Sud</v>
      </c>
    </row>
    <row r="119" spans="1:11" x14ac:dyDescent="0.25">
      <c r="A119" s="6">
        <v>31</v>
      </c>
      <c r="B119" s="7" t="s">
        <v>21</v>
      </c>
      <c r="C119" s="8">
        <v>45298</v>
      </c>
      <c r="D119" s="7">
        <v>2130</v>
      </c>
      <c r="E119" s="9">
        <v>787</v>
      </c>
      <c r="F119" s="10">
        <v>45.6</v>
      </c>
      <c r="G119" s="10">
        <v>81.61</v>
      </c>
      <c r="H119" s="10">
        <v>56.41765745</v>
      </c>
      <c r="I119" s="6" t="s">
        <v>68</v>
      </c>
      <c r="J119" s="6" t="s">
        <v>298</v>
      </c>
      <c r="K119" s="11" t="str">
        <f>VLOOKUP(SCADA[[#This Row],[Puits]],Puits!$A$1:$F$267,3,FALSE)</f>
        <v>Sud</v>
      </c>
    </row>
    <row r="120" spans="1:11" x14ac:dyDescent="0.25">
      <c r="A120" s="6">
        <v>31</v>
      </c>
      <c r="B120" s="7" t="s">
        <v>21</v>
      </c>
      <c r="C120" s="8">
        <v>45298</v>
      </c>
      <c r="D120" s="7">
        <v>2130</v>
      </c>
      <c r="E120" s="9">
        <v>648</v>
      </c>
      <c r="F120" s="10">
        <v>50.2</v>
      </c>
      <c r="G120" s="10">
        <v>82.53</v>
      </c>
      <c r="H120" s="10">
        <v>60.173604400000002</v>
      </c>
      <c r="I120" s="6" t="s">
        <v>68</v>
      </c>
      <c r="J120" s="6" t="s">
        <v>298</v>
      </c>
      <c r="K120" s="11" t="str">
        <f>VLOOKUP(SCADA[[#This Row],[Puits]],Puits!$A$1:$F$267,3,FALSE)</f>
        <v>Sud</v>
      </c>
    </row>
    <row r="121" spans="1:11" x14ac:dyDescent="0.25">
      <c r="A121" s="6">
        <v>31</v>
      </c>
      <c r="B121" s="7" t="s">
        <v>21</v>
      </c>
      <c r="C121" s="8">
        <v>45298</v>
      </c>
      <c r="D121" s="7">
        <v>2130</v>
      </c>
      <c r="E121" s="9">
        <v>422</v>
      </c>
      <c r="F121" s="10">
        <v>55.3</v>
      </c>
      <c r="G121" s="10">
        <v>83.73</v>
      </c>
      <c r="H121" s="10">
        <v>64.596403550000005</v>
      </c>
      <c r="I121" s="6" t="s">
        <v>68</v>
      </c>
      <c r="J121" s="6" t="s">
        <v>298</v>
      </c>
      <c r="K121" s="11" t="str">
        <f>VLOOKUP(SCADA[[#This Row],[Puits]],Puits!$A$1:$F$267,3,FALSE)</f>
        <v>Sud</v>
      </c>
    </row>
    <row r="122" spans="1:11" x14ac:dyDescent="0.25">
      <c r="A122" s="6">
        <v>32</v>
      </c>
      <c r="B122" s="7" t="s">
        <v>51</v>
      </c>
      <c r="C122" s="8">
        <v>45299</v>
      </c>
      <c r="D122" s="7">
        <v>2115</v>
      </c>
      <c r="E122" s="9">
        <v>1399</v>
      </c>
      <c r="F122" s="10">
        <v>45</v>
      </c>
      <c r="G122" s="10">
        <v>79.599999999999994</v>
      </c>
      <c r="H122" s="10">
        <v>64.331623999999991</v>
      </c>
      <c r="I122" s="6" t="s">
        <v>68</v>
      </c>
      <c r="J122" s="6" t="s">
        <v>298</v>
      </c>
      <c r="K122" s="11" t="str">
        <f>VLOOKUP(SCADA[[#This Row],[Puits]],Puits!$A$1:$F$267,3,FALSE)</f>
        <v>Sud</v>
      </c>
    </row>
    <row r="123" spans="1:11" x14ac:dyDescent="0.25">
      <c r="A123" s="6">
        <v>32</v>
      </c>
      <c r="B123" s="7" t="s">
        <v>51</v>
      </c>
      <c r="C123" s="8">
        <v>45299</v>
      </c>
      <c r="D123" s="7">
        <v>2115</v>
      </c>
      <c r="E123" s="9">
        <v>1091</v>
      </c>
      <c r="F123" s="10">
        <v>51.9</v>
      </c>
      <c r="G123" s="10">
        <v>80.599999999999994</v>
      </c>
      <c r="H123" s="10">
        <v>67.901244599999998</v>
      </c>
      <c r="I123" s="6" t="s">
        <v>68</v>
      </c>
      <c r="J123" s="6" t="s">
        <v>298</v>
      </c>
      <c r="K123" s="11" t="str">
        <f>VLOOKUP(SCADA[[#This Row],[Puits]],Puits!$A$1:$F$267,3,FALSE)</f>
        <v>Sud</v>
      </c>
    </row>
    <row r="124" spans="1:11" x14ac:dyDescent="0.25">
      <c r="A124" s="6">
        <v>32</v>
      </c>
      <c r="B124" s="7" t="s">
        <v>51</v>
      </c>
      <c r="C124" s="8">
        <v>45299</v>
      </c>
      <c r="D124" s="7">
        <v>2115</v>
      </c>
      <c r="E124" s="9">
        <v>714</v>
      </c>
      <c r="F124" s="10">
        <v>59.6</v>
      </c>
      <c r="G124" s="10">
        <v>81.5</v>
      </c>
      <c r="H124" s="10">
        <v>71.245312250000012</v>
      </c>
      <c r="I124" s="6" t="s">
        <v>68</v>
      </c>
      <c r="J124" s="6" t="s">
        <v>298</v>
      </c>
      <c r="K124" s="11" t="str">
        <f>VLOOKUP(SCADA[[#This Row],[Puits]],Puits!$A$1:$F$267,3,FALSE)</f>
        <v>Sud</v>
      </c>
    </row>
    <row r="125" spans="1:11" x14ac:dyDescent="0.25">
      <c r="A125" s="6">
        <v>33</v>
      </c>
      <c r="B125" s="7" t="s">
        <v>22</v>
      </c>
      <c r="C125" s="8">
        <v>45299</v>
      </c>
      <c r="D125" s="7">
        <v>2150</v>
      </c>
      <c r="E125" s="9">
        <v>818</v>
      </c>
      <c r="F125" s="10">
        <v>38</v>
      </c>
      <c r="G125" s="10">
        <v>86.2</v>
      </c>
      <c r="H125" s="10">
        <v>50.651347250000001</v>
      </c>
      <c r="I125" s="6" t="s">
        <v>68</v>
      </c>
      <c r="J125" s="6" t="s">
        <v>298</v>
      </c>
      <c r="K125" s="11" t="str">
        <f>VLOOKUP(SCADA[[#This Row],[Puits]],Puits!$A$1:$F$267,3,FALSE)</f>
        <v>Nord</v>
      </c>
    </row>
    <row r="126" spans="1:11" x14ac:dyDescent="0.25">
      <c r="A126" s="6">
        <v>33</v>
      </c>
      <c r="B126" s="7" t="s">
        <v>22</v>
      </c>
      <c r="C126" s="8">
        <v>45299</v>
      </c>
      <c r="D126" s="7">
        <v>2150</v>
      </c>
      <c r="E126" s="9">
        <v>673</v>
      </c>
      <c r="F126" s="10">
        <v>44</v>
      </c>
      <c r="G126" s="10">
        <v>87.4</v>
      </c>
      <c r="H126" s="10">
        <v>55.515445649999997</v>
      </c>
      <c r="I126" s="6" t="s">
        <v>68</v>
      </c>
      <c r="J126" s="6" t="s">
        <v>298</v>
      </c>
      <c r="K126" s="11" t="str">
        <f>VLOOKUP(SCADA[[#This Row],[Puits]],Puits!$A$1:$F$267,3,FALSE)</f>
        <v>Nord</v>
      </c>
    </row>
    <row r="127" spans="1:11" x14ac:dyDescent="0.25">
      <c r="A127" s="6">
        <v>33</v>
      </c>
      <c r="B127" s="7" t="s">
        <v>22</v>
      </c>
      <c r="C127" s="8">
        <v>45299</v>
      </c>
      <c r="D127" s="7">
        <v>2150</v>
      </c>
      <c r="E127" s="9">
        <v>460</v>
      </c>
      <c r="F127" s="10">
        <v>50</v>
      </c>
      <c r="G127" s="10">
        <v>88.5</v>
      </c>
      <c r="H127" s="10">
        <v>60.958136399999994</v>
      </c>
      <c r="I127" s="6" t="s">
        <v>68</v>
      </c>
      <c r="J127" s="6" t="s">
        <v>298</v>
      </c>
      <c r="K127" s="11" t="str">
        <f>VLOOKUP(SCADA[[#This Row],[Puits]],Puits!$A$1:$F$267,3,FALSE)</f>
        <v>Nord</v>
      </c>
    </row>
    <row r="128" spans="1:11" x14ac:dyDescent="0.25">
      <c r="A128" s="6">
        <v>34</v>
      </c>
      <c r="B128" s="7" t="s">
        <v>52</v>
      </c>
      <c r="C128" s="8">
        <v>45300</v>
      </c>
      <c r="D128" s="7">
        <v>2160</v>
      </c>
      <c r="E128" s="9">
        <v>928</v>
      </c>
      <c r="F128" s="10">
        <v>39.931034482758619</v>
      </c>
      <c r="G128" s="10">
        <v>84.1</v>
      </c>
      <c r="H128" s="10">
        <v>61.026782949999998</v>
      </c>
      <c r="I128" s="6" t="s">
        <v>68</v>
      </c>
      <c r="J128" s="6" t="s">
        <v>298</v>
      </c>
      <c r="K128" s="11" t="str">
        <f>VLOOKUP(SCADA[[#This Row],[Puits]],Puits!$A$1:$F$267,3,FALSE)</f>
        <v>Sud</v>
      </c>
    </row>
    <row r="129" spans="1:11" x14ac:dyDescent="0.25">
      <c r="A129" s="6">
        <v>34</v>
      </c>
      <c r="B129" s="7" t="s">
        <v>52</v>
      </c>
      <c r="C129" s="8">
        <v>45300</v>
      </c>
      <c r="D129" s="7">
        <v>2160</v>
      </c>
      <c r="E129" s="9">
        <v>757</v>
      </c>
      <c r="F129" s="10">
        <v>45.517241379310342</v>
      </c>
      <c r="G129" s="10">
        <v>84.7</v>
      </c>
      <c r="H129" s="10">
        <v>63.439218849999996</v>
      </c>
      <c r="I129" s="6" t="s">
        <v>68</v>
      </c>
      <c r="J129" s="6" t="s">
        <v>298</v>
      </c>
      <c r="K129" s="11" t="str">
        <f>VLOOKUP(SCADA[[#This Row],[Puits]],Puits!$A$1:$F$267,3,FALSE)</f>
        <v>Sud</v>
      </c>
    </row>
    <row r="130" spans="1:11" x14ac:dyDescent="0.25">
      <c r="A130" s="6">
        <v>34</v>
      </c>
      <c r="B130" s="7" t="s">
        <v>52</v>
      </c>
      <c r="C130" s="8">
        <v>45300</v>
      </c>
      <c r="D130" s="7">
        <v>2160</v>
      </c>
      <c r="E130" s="9">
        <v>532</v>
      </c>
      <c r="F130" s="10">
        <v>52</v>
      </c>
      <c r="G130" s="10">
        <v>85.4</v>
      </c>
      <c r="H130" s="10">
        <v>66.155660900000001</v>
      </c>
      <c r="I130" s="6" t="s">
        <v>68</v>
      </c>
      <c r="J130" s="6" t="s">
        <v>298</v>
      </c>
      <c r="K130" s="11" t="str">
        <f>VLOOKUP(SCADA[[#This Row],[Puits]],Puits!$A$1:$F$267,3,FALSE)</f>
        <v>Sud</v>
      </c>
    </row>
    <row r="131" spans="1:11" x14ac:dyDescent="0.25">
      <c r="A131" s="6">
        <v>35</v>
      </c>
      <c r="B131" s="7" t="s">
        <v>53</v>
      </c>
      <c r="C131" s="8">
        <v>45300</v>
      </c>
      <c r="D131" s="7">
        <v>2185</v>
      </c>
      <c r="E131" s="9">
        <v>1319</v>
      </c>
      <c r="F131" s="10">
        <v>38</v>
      </c>
      <c r="G131" s="10">
        <v>86.7</v>
      </c>
      <c r="H131" s="10">
        <v>57.672908650000004</v>
      </c>
      <c r="I131" s="6" t="s">
        <v>68</v>
      </c>
      <c r="J131" s="6" t="s">
        <v>298</v>
      </c>
      <c r="K131" s="11" t="str">
        <f>VLOOKUP(SCADA[[#This Row],[Puits]],Puits!$A$1:$F$267,3,FALSE)</f>
        <v>Nord</v>
      </c>
    </row>
    <row r="132" spans="1:11" x14ac:dyDescent="0.25">
      <c r="A132" s="6">
        <v>35</v>
      </c>
      <c r="B132" s="7" t="s">
        <v>53</v>
      </c>
      <c r="C132" s="8">
        <v>45300</v>
      </c>
      <c r="D132" s="7">
        <v>2185</v>
      </c>
      <c r="E132" s="9">
        <v>1220</v>
      </c>
      <c r="F132" s="10">
        <v>44</v>
      </c>
      <c r="G132" s="10">
        <v>87.8</v>
      </c>
      <c r="H132" s="10">
        <v>61.546535399999996</v>
      </c>
      <c r="I132" s="6" t="s">
        <v>68</v>
      </c>
      <c r="J132" s="6" t="s">
        <v>298</v>
      </c>
      <c r="K132" s="11" t="str">
        <f>VLOOKUP(SCADA[[#This Row],[Puits]],Puits!$A$1:$F$267,3,FALSE)</f>
        <v>Nord</v>
      </c>
    </row>
    <row r="133" spans="1:11" x14ac:dyDescent="0.25">
      <c r="A133" s="6">
        <v>35</v>
      </c>
      <c r="B133" s="7" t="s">
        <v>53</v>
      </c>
      <c r="C133" s="8">
        <v>45300</v>
      </c>
      <c r="D133" s="7">
        <v>2185</v>
      </c>
      <c r="E133" s="9">
        <v>1097</v>
      </c>
      <c r="F133" s="10">
        <v>50</v>
      </c>
      <c r="G133" s="10">
        <v>89</v>
      </c>
      <c r="H133" s="10">
        <v>66.096821000000006</v>
      </c>
      <c r="I133" s="6" t="s">
        <v>68</v>
      </c>
      <c r="J133" s="6" t="s">
        <v>298</v>
      </c>
      <c r="K133" s="11" t="str">
        <f>VLOOKUP(SCADA[[#This Row],[Puits]],Puits!$A$1:$F$267,3,FALSE)</f>
        <v>Nord</v>
      </c>
    </row>
    <row r="134" spans="1:11" x14ac:dyDescent="0.25">
      <c r="A134" s="6">
        <v>36</v>
      </c>
      <c r="B134" s="7" t="s">
        <v>23</v>
      </c>
      <c r="C134" s="8">
        <v>45301</v>
      </c>
      <c r="D134" s="7">
        <v>2167</v>
      </c>
      <c r="E134" s="9">
        <v>843</v>
      </c>
      <c r="F134" s="10">
        <v>34.96551724137931</v>
      </c>
      <c r="G134" s="10">
        <v>80.23</v>
      </c>
      <c r="H134" s="10">
        <v>47.581865800000003</v>
      </c>
      <c r="I134" s="6" t="s">
        <v>68</v>
      </c>
      <c r="J134" s="6" t="s">
        <v>298</v>
      </c>
      <c r="K134" s="11" t="str">
        <f>VLOOKUP(SCADA[[#This Row],[Puits]],Puits!$A$1:$F$267,3,FALSE)</f>
        <v>Sud</v>
      </c>
    </row>
    <row r="135" spans="1:11" x14ac:dyDescent="0.25">
      <c r="A135" s="6">
        <v>36</v>
      </c>
      <c r="B135" s="7" t="s">
        <v>23</v>
      </c>
      <c r="C135" s="8">
        <v>45301</v>
      </c>
      <c r="D135" s="7">
        <v>2167</v>
      </c>
      <c r="E135" s="9">
        <v>654</v>
      </c>
      <c r="F135" s="10">
        <v>44</v>
      </c>
      <c r="G135" s="10">
        <v>82.38</v>
      </c>
      <c r="H135" s="10">
        <v>54.779946899999999</v>
      </c>
      <c r="I135" s="6" t="s">
        <v>68</v>
      </c>
      <c r="J135" s="6" t="s">
        <v>298</v>
      </c>
      <c r="K135" s="11" t="str">
        <f>VLOOKUP(SCADA[[#This Row],[Puits]],Puits!$A$1:$F$267,3,FALSE)</f>
        <v>Sud</v>
      </c>
    </row>
    <row r="136" spans="1:11" x14ac:dyDescent="0.25">
      <c r="A136" s="6">
        <v>36</v>
      </c>
      <c r="B136" s="7" t="s">
        <v>23</v>
      </c>
      <c r="C136" s="8">
        <v>45301</v>
      </c>
      <c r="D136" s="7">
        <v>2167</v>
      </c>
      <c r="E136" s="9">
        <v>498</v>
      </c>
      <c r="F136" s="10">
        <v>49.517241379310342</v>
      </c>
      <c r="G136" s="10">
        <v>83.7</v>
      </c>
      <c r="H136" s="10">
        <v>59.477332249999996</v>
      </c>
      <c r="I136" s="6" t="s">
        <v>68</v>
      </c>
      <c r="J136" s="6" t="s">
        <v>298</v>
      </c>
      <c r="K136" s="11" t="str">
        <f>VLOOKUP(SCADA[[#This Row],[Puits]],Puits!$A$1:$F$267,3,FALSE)</f>
        <v>Sud</v>
      </c>
    </row>
    <row r="137" spans="1:11" x14ac:dyDescent="0.25">
      <c r="A137" s="6">
        <v>37</v>
      </c>
      <c r="B137" s="7" t="s">
        <v>323</v>
      </c>
      <c r="C137" s="8">
        <v>45301</v>
      </c>
      <c r="D137" s="7">
        <v>2189</v>
      </c>
      <c r="E137" s="9">
        <v>924</v>
      </c>
      <c r="F137" s="10">
        <v>36</v>
      </c>
      <c r="G137" s="10">
        <v>82.7</v>
      </c>
      <c r="H137" s="10">
        <v>49.258802949999996</v>
      </c>
      <c r="I137" s="6" t="s">
        <v>68</v>
      </c>
      <c r="J137" s="6" t="s">
        <v>298</v>
      </c>
      <c r="K137" s="11" t="str">
        <f>VLOOKUP(SCADA[[#This Row],[Puits]],Puits!$A$1:$F$267,3,FALSE)</f>
        <v>Nord</v>
      </c>
    </row>
    <row r="138" spans="1:11" x14ac:dyDescent="0.25">
      <c r="A138" s="6">
        <v>37</v>
      </c>
      <c r="B138" s="7" t="s">
        <v>323</v>
      </c>
      <c r="C138" s="8">
        <v>45301</v>
      </c>
      <c r="D138" s="7">
        <v>2189</v>
      </c>
      <c r="E138" s="9">
        <v>840</v>
      </c>
      <c r="F138" s="10">
        <v>44</v>
      </c>
      <c r="G138" s="10">
        <v>84.2</v>
      </c>
      <c r="H138" s="10">
        <v>54.446520800000002</v>
      </c>
      <c r="I138" s="6" t="s">
        <v>68</v>
      </c>
      <c r="J138" s="6" t="s">
        <v>298</v>
      </c>
      <c r="K138" s="11" t="str">
        <f>VLOOKUP(SCADA[[#This Row],[Puits]],Puits!$A$1:$F$267,3,FALSE)</f>
        <v>Nord</v>
      </c>
    </row>
    <row r="139" spans="1:11" x14ac:dyDescent="0.25">
      <c r="A139" s="6">
        <v>37</v>
      </c>
      <c r="B139" s="7" t="s">
        <v>323</v>
      </c>
      <c r="C139" s="8">
        <v>45301</v>
      </c>
      <c r="D139" s="7">
        <v>2189</v>
      </c>
      <c r="E139" s="9">
        <v>725</v>
      </c>
      <c r="F139" s="10">
        <v>48</v>
      </c>
      <c r="G139" s="10">
        <v>85.7</v>
      </c>
      <c r="H139" s="10">
        <v>60.006891349999997</v>
      </c>
      <c r="I139" s="6" t="s">
        <v>68</v>
      </c>
      <c r="J139" s="6" t="s">
        <v>298</v>
      </c>
      <c r="K139" s="11" t="str">
        <f>VLOOKUP(SCADA[[#This Row],[Puits]],Puits!$A$1:$F$267,3,FALSE)</f>
        <v>Nord</v>
      </c>
    </row>
    <row r="140" spans="1:11" x14ac:dyDescent="0.25">
      <c r="A140" s="6">
        <v>38</v>
      </c>
      <c r="B140" s="7" t="s">
        <v>54</v>
      </c>
      <c r="C140" s="8">
        <v>45302</v>
      </c>
      <c r="D140" s="7">
        <v>2118</v>
      </c>
      <c r="E140" s="9">
        <v>928</v>
      </c>
      <c r="F140" s="10">
        <v>37.931034482758619</v>
      </c>
      <c r="G140" s="10">
        <v>80.8</v>
      </c>
      <c r="H140" s="10">
        <v>51.612398950000006</v>
      </c>
      <c r="I140" s="6" t="s">
        <v>68</v>
      </c>
      <c r="J140" s="6" t="s">
        <v>298</v>
      </c>
      <c r="K140" s="11" t="str">
        <f>VLOOKUP(SCADA[[#This Row],[Puits]],Puits!$A$1:$F$267,3,FALSE)</f>
        <v>Sud</v>
      </c>
    </row>
    <row r="141" spans="1:11" x14ac:dyDescent="0.25">
      <c r="A141" s="6">
        <v>38</v>
      </c>
      <c r="B141" s="7" t="s">
        <v>54</v>
      </c>
      <c r="C141" s="8">
        <v>45302</v>
      </c>
      <c r="D141" s="7">
        <v>2118</v>
      </c>
      <c r="E141" s="9">
        <v>821</v>
      </c>
      <c r="F141" s="10">
        <v>41.931034482758619</v>
      </c>
      <c r="G141" s="10">
        <v>81.8</v>
      </c>
      <c r="H141" s="10">
        <v>54.976079900000002</v>
      </c>
      <c r="I141" s="6" t="s">
        <v>68</v>
      </c>
      <c r="J141" s="6" t="s">
        <v>298</v>
      </c>
      <c r="K141" s="11" t="str">
        <f>VLOOKUP(SCADA[[#This Row],[Puits]],Puits!$A$1:$F$267,3,FALSE)</f>
        <v>Sud</v>
      </c>
    </row>
    <row r="142" spans="1:11" x14ac:dyDescent="0.25">
      <c r="A142" s="6">
        <v>38</v>
      </c>
      <c r="B142" s="7" t="s">
        <v>54</v>
      </c>
      <c r="C142" s="8">
        <v>45302</v>
      </c>
      <c r="D142" s="7">
        <v>2118</v>
      </c>
      <c r="E142" s="9">
        <v>630</v>
      </c>
      <c r="F142" s="10">
        <v>48.96551724137931</v>
      </c>
      <c r="G142" s="10">
        <v>83.3</v>
      </c>
      <c r="H142" s="10">
        <v>59.977471399999999</v>
      </c>
      <c r="I142" s="6" t="s">
        <v>68</v>
      </c>
      <c r="J142" s="6" t="s">
        <v>298</v>
      </c>
      <c r="K142" s="11" t="str">
        <f>VLOOKUP(SCADA[[#This Row],[Puits]],Puits!$A$1:$F$267,3,FALSE)</f>
        <v>Sud</v>
      </c>
    </row>
    <row r="143" spans="1:11" x14ac:dyDescent="0.25">
      <c r="A143" s="6">
        <v>39</v>
      </c>
      <c r="B143" s="7" t="s">
        <v>324</v>
      </c>
      <c r="C143" s="8">
        <v>45302</v>
      </c>
      <c r="D143" s="7">
        <v>2187</v>
      </c>
      <c r="E143" s="9">
        <v>256</v>
      </c>
      <c r="F143" s="10">
        <v>34.96551724137931</v>
      </c>
      <c r="G143" s="10">
        <v>83.1</v>
      </c>
      <c r="H143" s="10">
        <v>47.101339950000003</v>
      </c>
      <c r="I143" s="6" t="s">
        <v>68</v>
      </c>
      <c r="J143" s="6" t="s">
        <v>298</v>
      </c>
      <c r="K143" s="11" t="str">
        <f>VLOOKUP(SCADA[[#This Row],[Puits]],Puits!$A$1:$F$267,3,FALSE)</f>
        <v>Nord</v>
      </c>
    </row>
    <row r="144" spans="1:11" x14ac:dyDescent="0.25">
      <c r="A144" s="6">
        <v>39</v>
      </c>
      <c r="B144" s="7" t="s">
        <v>324</v>
      </c>
      <c r="C144" s="8">
        <v>45302</v>
      </c>
      <c r="D144" s="7">
        <v>2187</v>
      </c>
      <c r="E144" s="9">
        <v>219</v>
      </c>
      <c r="F144" s="12">
        <v>41.655172413793103</v>
      </c>
      <c r="G144" s="10">
        <v>84.2</v>
      </c>
      <c r="H144" s="10">
        <v>53.514889050000001</v>
      </c>
      <c r="I144" s="6" t="s">
        <v>68</v>
      </c>
      <c r="J144" s="6" t="s">
        <v>298</v>
      </c>
      <c r="K144" s="11" t="str">
        <f>VLOOKUP(SCADA[[#This Row],[Puits]],Puits!$A$1:$F$267,3,FALSE)</f>
        <v>Nord</v>
      </c>
    </row>
    <row r="145" spans="1:11" x14ac:dyDescent="0.25">
      <c r="A145" s="6">
        <v>39</v>
      </c>
      <c r="B145" s="7" t="s">
        <v>324</v>
      </c>
      <c r="C145" s="8">
        <v>45302</v>
      </c>
      <c r="D145" s="7">
        <v>2187</v>
      </c>
      <c r="E145" s="9">
        <v>175</v>
      </c>
      <c r="F145" s="10">
        <v>48.96551724137931</v>
      </c>
      <c r="G145" s="10">
        <v>85.4</v>
      </c>
      <c r="H145" s="10">
        <v>60.330510800000006</v>
      </c>
      <c r="I145" s="6" t="s">
        <v>68</v>
      </c>
      <c r="J145" s="6" t="s">
        <v>298</v>
      </c>
      <c r="K145" s="11" t="str">
        <f>VLOOKUP(SCADA[[#This Row],[Puits]],Puits!$A$1:$F$267,3,FALSE)</f>
        <v>Nord</v>
      </c>
    </row>
    <row r="146" spans="1:11" x14ac:dyDescent="0.25">
      <c r="A146" s="6">
        <v>40</v>
      </c>
      <c r="B146" s="7" t="s">
        <v>24</v>
      </c>
      <c r="C146" s="8">
        <v>45303</v>
      </c>
      <c r="D146" s="7">
        <v>2120</v>
      </c>
      <c r="E146" s="9">
        <v>714</v>
      </c>
      <c r="F146" s="10">
        <v>41.03448275862069</v>
      </c>
      <c r="G146" s="10">
        <v>84.5</v>
      </c>
      <c r="H146" s="10">
        <v>51.377039350000004</v>
      </c>
      <c r="I146" s="6" t="s">
        <v>68</v>
      </c>
      <c r="J146" s="6" t="s">
        <v>298</v>
      </c>
      <c r="K146" s="11" t="str">
        <f>VLOOKUP(SCADA[[#This Row],[Puits]],Puits!$A$1:$F$267,3,FALSE)</f>
        <v>Centre</v>
      </c>
    </row>
    <row r="147" spans="1:11" x14ac:dyDescent="0.25">
      <c r="A147" s="6">
        <v>40</v>
      </c>
      <c r="B147" s="7" t="s">
        <v>24</v>
      </c>
      <c r="C147" s="8">
        <v>45303</v>
      </c>
      <c r="D147" s="7">
        <v>2120</v>
      </c>
      <c r="E147" s="9">
        <v>641</v>
      </c>
      <c r="F147" s="10">
        <v>47.03448275862069</v>
      </c>
      <c r="G147" s="10">
        <v>86.2</v>
      </c>
      <c r="H147" s="10">
        <v>57.506195599999998</v>
      </c>
      <c r="I147" s="6" t="s">
        <v>68</v>
      </c>
      <c r="J147" s="6" t="s">
        <v>298</v>
      </c>
      <c r="K147" s="11" t="str">
        <f>VLOOKUP(SCADA[[#This Row],[Puits]],Puits!$A$1:$F$267,3,FALSE)</f>
        <v>Centre</v>
      </c>
    </row>
    <row r="148" spans="1:11" x14ac:dyDescent="0.25">
      <c r="A148" s="6">
        <v>40</v>
      </c>
      <c r="B148" s="7" t="s">
        <v>24</v>
      </c>
      <c r="C148" s="8">
        <v>45303</v>
      </c>
      <c r="D148" s="7">
        <v>2120</v>
      </c>
      <c r="E148" s="9">
        <v>518</v>
      </c>
      <c r="F148" s="10">
        <v>52.620689655172413</v>
      </c>
      <c r="G148" s="10">
        <v>87.9</v>
      </c>
      <c r="H148" s="10">
        <v>63.625545199999998</v>
      </c>
      <c r="I148" s="6" t="s">
        <v>68</v>
      </c>
      <c r="J148" s="6" t="s">
        <v>298</v>
      </c>
      <c r="K148" s="11" t="str">
        <f>VLOOKUP(SCADA[[#This Row],[Puits]],Puits!$A$1:$F$267,3,FALSE)</f>
        <v>Centre</v>
      </c>
    </row>
    <row r="149" spans="1:11" x14ac:dyDescent="0.25">
      <c r="A149" s="6">
        <v>41</v>
      </c>
      <c r="B149" s="7" t="s">
        <v>25</v>
      </c>
      <c r="C149" s="8">
        <v>45303</v>
      </c>
      <c r="D149" s="7">
        <v>2146</v>
      </c>
      <c r="E149" s="9">
        <v>1180</v>
      </c>
      <c r="F149" s="10">
        <v>38.6</v>
      </c>
      <c r="G149" s="10">
        <v>83.51</v>
      </c>
      <c r="H149" s="10">
        <v>62.703720099999998</v>
      </c>
      <c r="I149" s="6" t="s">
        <v>68</v>
      </c>
      <c r="J149" s="6" t="s">
        <v>298</v>
      </c>
      <c r="K149" s="11" t="str">
        <f>VLOOKUP(SCADA[[#This Row],[Puits]],Puits!$A$1:$F$267,3,FALSE)</f>
        <v>Sud</v>
      </c>
    </row>
    <row r="150" spans="1:11" x14ac:dyDescent="0.25">
      <c r="A150" s="6">
        <v>41</v>
      </c>
      <c r="B150" s="7" t="s">
        <v>25</v>
      </c>
      <c r="C150" s="8">
        <v>45303</v>
      </c>
      <c r="D150" s="7">
        <v>2146</v>
      </c>
      <c r="E150" s="9">
        <v>1061</v>
      </c>
      <c r="F150" s="10">
        <v>42</v>
      </c>
      <c r="G150" s="10">
        <v>83.69</v>
      </c>
      <c r="H150" s="10">
        <v>63.341152350000002</v>
      </c>
      <c r="I150" s="6" t="s">
        <v>68</v>
      </c>
      <c r="J150" s="6" t="s">
        <v>298</v>
      </c>
      <c r="K150" s="11" t="str">
        <f>VLOOKUP(SCADA[[#This Row],[Puits]],Puits!$A$1:$F$267,3,FALSE)</f>
        <v>Sud</v>
      </c>
    </row>
    <row r="151" spans="1:11" x14ac:dyDescent="0.25">
      <c r="A151" s="6">
        <v>41</v>
      </c>
      <c r="B151" s="7" t="s">
        <v>25</v>
      </c>
      <c r="C151" s="8">
        <v>45303</v>
      </c>
      <c r="D151" s="7">
        <v>2146</v>
      </c>
      <c r="E151" s="9">
        <v>819</v>
      </c>
      <c r="F151" s="10">
        <v>48.6</v>
      </c>
      <c r="G151" s="10">
        <v>83.98</v>
      </c>
      <c r="H151" s="10">
        <v>64.606210199999992</v>
      </c>
      <c r="I151" s="6" t="s">
        <v>68</v>
      </c>
      <c r="J151" s="6" t="s">
        <v>298</v>
      </c>
      <c r="K151" s="11" t="str">
        <f>VLOOKUP(SCADA[[#This Row],[Puits]],Puits!$A$1:$F$267,3,FALSE)</f>
        <v>Sud</v>
      </c>
    </row>
    <row r="152" spans="1:11" x14ac:dyDescent="0.25">
      <c r="A152" s="6">
        <v>42</v>
      </c>
      <c r="B152" s="7" t="s">
        <v>26</v>
      </c>
      <c r="C152" s="8">
        <v>45304</v>
      </c>
      <c r="D152" s="7">
        <v>2190</v>
      </c>
      <c r="E152" s="9">
        <v>396</v>
      </c>
      <c r="F152" s="10">
        <v>36.5</v>
      </c>
      <c r="G152" s="10">
        <v>83.2</v>
      </c>
      <c r="H152" s="10">
        <v>47.925098550000001</v>
      </c>
      <c r="I152" s="6" t="s">
        <v>68</v>
      </c>
      <c r="J152" s="6" t="s">
        <v>298</v>
      </c>
      <c r="K152" s="11" t="str">
        <f>VLOOKUP(SCADA[[#This Row],[Puits]],Puits!$A$1:$F$267,3,FALSE)</f>
        <v>Nord</v>
      </c>
    </row>
    <row r="153" spans="1:11" x14ac:dyDescent="0.25">
      <c r="A153" s="6">
        <v>42</v>
      </c>
      <c r="B153" s="7" t="s">
        <v>26</v>
      </c>
      <c r="C153" s="8">
        <v>45304</v>
      </c>
      <c r="D153" s="7">
        <v>2190</v>
      </c>
      <c r="E153" s="9">
        <v>368</v>
      </c>
      <c r="F153" s="10">
        <v>42.5</v>
      </c>
      <c r="G153" s="10">
        <v>85</v>
      </c>
      <c r="H153" s="10">
        <v>54.475940749999999</v>
      </c>
      <c r="I153" s="6" t="s">
        <v>68</v>
      </c>
      <c r="J153" s="6" t="s">
        <v>298</v>
      </c>
      <c r="K153" s="11" t="str">
        <f>VLOOKUP(SCADA[[#This Row],[Puits]],Puits!$A$1:$F$267,3,FALSE)</f>
        <v>Nord</v>
      </c>
    </row>
    <row r="154" spans="1:11" x14ac:dyDescent="0.25">
      <c r="A154" s="6">
        <v>42</v>
      </c>
      <c r="B154" s="7" t="s">
        <v>26</v>
      </c>
      <c r="C154" s="8">
        <v>45304</v>
      </c>
      <c r="D154" s="7">
        <v>2190</v>
      </c>
      <c r="E154" s="9">
        <v>295</v>
      </c>
      <c r="F154" s="10">
        <v>49.5</v>
      </c>
      <c r="G154" s="10">
        <v>86.8</v>
      </c>
      <c r="H154" s="10">
        <v>60.036311300000001</v>
      </c>
      <c r="I154" s="6" t="s">
        <v>68</v>
      </c>
      <c r="J154" s="6" t="s">
        <v>298</v>
      </c>
      <c r="K154" s="11" t="str">
        <f>VLOOKUP(SCADA[[#This Row],[Puits]],Puits!$A$1:$F$267,3,FALSE)</f>
        <v>Nord</v>
      </c>
    </row>
    <row r="155" spans="1:11" x14ac:dyDescent="0.25">
      <c r="A155" s="6">
        <v>43</v>
      </c>
      <c r="B155" s="7" t="s">
        <v>55</v>
      </c>
      <c r="C155" s="8">
        <v>45304</v>
      </c>
      <c r="D155" s="7">
        <v>2150</v>
      </c>
      <c r="E155" s="9">
        <v>854</v>
      </c>
      <c r="F155" s="10">
        <v>40.97</v>
      </c>
      <c r="G155" s="10">
        <v>79.48</v>
      </c>
      <c r="H155" s="10">
        <v>57.6042621</v>
      </c>
      <c r="I155" s="6" t="s">
        <v>68</v>
      </c>
      <c r="J155" s="6" t="s">
        <v>298</v>
      </c>
      <c r="K155" s="11" t="str">
        <f>VLOOKUP(SCADA[[#This Row],[Puits]],Puits!$A$1:$F$267,3,FALSE)</f>
        <v>Sud</v>
      </c>
    </row>
    <row r="156" spans="1:11" x14ac:dyDescent="0.25">
      <c r="A156" s="6">
        <v>43</v>
      </c>
      <c r="B156" s="7" t="s">
        <v>55</v>
      </c>
      <c r="C156" s="8">
        <v>45304</v>
      </c>
      <c r="D156" s="7">
        <v>2150</v>
      </c>
      <c r="E156" s="9">
        <v>791</v>
      </c>
      <c r="F156" s="10">
        <v>45.38</v>
      </c>
      <c r="G156" s="10">
        <v>80.19</v>
      </c>
      <c r="H156" s="10">
        <v>59.869598249999996</v>
      </c>
      <c r="I156" s="6" t="s">
        <v>68</v>
      </c>
      <c r="J156" s="6" t="s">
        <v>298</v>
      </c>
      <c r="K156" s="11" t="str">
        <f>VLOOKUP(SCADA[[#This Row],[Puits]],Puits!$A$1:$F$267,3,FALSE)</f>
        <v>Sud</v>
      </c>
    </row>
    <row r="157" spans="1:11" x14ac:dyDescent="0.25">
      <c r="A157" s="6">
        <v>43</v>
      </c>
      <c r="B157" s="7" t="s">
        <v>55</v>
      </c>
      <c r="C157" s="8">
        <v>45304</v>
      </c>
      <c r="D157" s="7">
        <v>2150</v>
      </c>
      <c r="E157" s="9">
        <v>595</v>
      </c>
      <c r="F157" s="10">
        <v>50.9</v>
      </c>
      <c r="G157" s="10">
        <v>81.16</v>
      </c>
      <c r="H157" s="10">
        <v>63.135212699999997</v>
      </c>
      <c r="I157" s="6" t="s">
        <v>68</v>
      </c>
      <c r="J157" s="6" t="s">
        <v>298</v>
      </c>
      <c r="K157" s="11" t="str">
        <f>VLOOKUP(SCADA[[#This Row],[Puits]],Puits!$A$1:$F$267,3,FALSE)</f>
        <v>Sud</v>
      </c>
    </row>
    <row r="158" spans="1:11" x14ac:dyDescent="0.25">
      <c r="A158" s="6">
        <v>44</v>
      </c>
      <c r="B158" s="7" t="s">
        <v>27</v>
      </c>
      <c r="C158" s="8">
        <v>45305</v>
      </c>
      <c r="D158" s="7">
        <v>2130</v>
      </c>
      <c r="E158" s="9">
        <v>666</v>
      </c>
      <c r="F158" s="10">
        <v>39.299999999999997</v>
      </c>
      <c r="G158" s="10">
        <v>91.5</v>
      </c>
      <c r="H158" s="10">
        <v>71.32376545000001</v>
      </c>
      <c r="I158" s="6" t="s">
        <v>68</v>
      </c>
      <c r="J158" s="6" t="s">
        <v>303</v>
      </c>
      <c r="K158" s="11" t="str">
        <f>VLOOKUP(SCADA[[#This Row],[Puits]],Puits!$A$1:$F$267,3,FALSE)</f>
        <v>Centre</v>
      </c>
    </row>
    <row r="159" spans="1:11" x14ac:dyDescent="0.25">
      <c r="A159" s="6">
        <v>44</v>
      </c>
      <c r="B159" s="7" t="s">
        <v>27</v>
      </c>
      <c r="C159" s="8">
        <v>45305</v>
      </c>
      <c r="D159" s="7">
        <v>2130</v>
      </c>
      <c r="E159" s="9">
        <v>587</v>
      </c>
      <c r="F159" s="10">
        <v>45.24</v>
      </c>
      <c r="G159" s="10">
        <v>91.6</v>
      </c>
      <c r="H159" s="10">
        <v>71.676804850000011</v>
      </c>
      <c r="I159" s="6" t="s">
        <v>68</v>
      </c>
      <c r="J159" s="6" t="s">
        <v>303</v>
      </c>
      <c r="K159" s="11" t="str">
        <f>VLOOKUP(SCADA[[#This Row],[Puits]],Puits!$A$1:$F$267,3,FALSE)</f>
        <v>Centre</v>
      </c>
    </row>
    <row r="160" spans="1:11" x14ac:dyDescent="0.25">
      <c r="A160" s="6">
        <v>44</v>
      </c>
      <c r="B160" s="7" t="s">
        <v>27</v>
      </c>
      <c r="C160" s="8">
        <v>45305</v>
      </c>
      <c r="D160" s="7">
        <v>2130</v>
      </c>
      <c r="E160" s="9">
        <v>472</v>
      </c>
      <c r="F160" s="10">
        <v>51.79</v>
      </c>
      <c r="G160" s="10">
        <v>91.7</v>
      </c>
      <c r="H160" s="10">
        <v>72.255397200000004</v>
      </c>
      <c r="I160" s="6" t="s">
        <v>68</v>
      </c>
      <c r="J160" s="6" t="s">
        <v>303</v>
      </c>
      <c r="K160" s="11" t="str">
        <f>VLOOKUP(SCADA[[#This Row],[Puits]],Puits!$A$1:$F$267,3,FALSE)</f>
        <v>Centre</v>
      </c>
    </row>
    <row r="161" spans="1:11" x14ac:dyDescent="0.25">
      <c r="A161" s="6">
        <v>45</v>
      </c>
      <c r="B161" s="7" t="s">
        <v>28</v>
      </c>
      <c r="C161" s="8">
        <v>45305</v>
      </c>
      <c r="D161" s="7">
        <v>2130</v>
      </c>
      <c r="E161" s="9">
        <v>809</v>
      </c>
      <c r="F161" s="10">
        <v>36.75</v>
      </c>
      <c r="G161" s="10">
        <v>79.78</v>
      </c>
      <c r="H161" s="10">
        <v>51.563365699999999</v>
      </c>
      <c r="I161" s="6" t="s">
        <v>68</v>
      </c>
      <c r="J161" s="6" t="s">
        <v>298</v>
      </c>
      <c r="K161" s="11" t="str">
        <f>VLOOKUP(SCADA[[#This Row],[Puits]],Puits!$A$1:$F$267,3,FALSE)</f>
        <v>Sud</v>
      </c>
    </row>
    <row r="162" spans="1:11" x14ac:dyDescent="0.25">
      <c r="A162" s="6">
        <v>45</v>
      </c>
      <c r="B162" s="7" t="s">
        <v>28</v>
      </c>
      <c r="C162" s="8">
        <v>45305</v>
      </c>
      <c r="D162" s="7">
        <v>2130</v>
      </c>
      <c r="E162" s="9">
        <v>686</v>
      </c>
      <c r="F162" s="10">
        <v>40.68</v>
      </c>
      <c r="G162" s="10">
        <v>80.03</v>
      </c>
      <c r="H162" s="10">
        <v>53.161849650000001</v>
      </c>
      <c r="I162" s="6" t="s">
        <v>68</v>
      </c>
      <c r="J162" s="6" t="s">
        <v>298</v>
      </c>
      <c r="K162" s="11" t="str">
        <f>VLOOKUP(SCADA[[#This Row],[Puits]],Puits!$A$1:$F$267,3,FALSE)</f>
        <v>Sud</v>
      </c>
    </row>
    <row r="163" spans="1:11" x14ac:dyDescent="0.25">
      <c r="A163" s="6">
        <v>45</v>
      </c>
      <c r="B163" s="7" t="s">
        <v>28</v>
      </c>
      <c r="C163" s="8">
        <v>45305</v>
      </c>
      <c r="D163" s="7">
        <v>2130</v>
      </c>
      <c r="E163" s="9">
        <v>432</v>
      </c>
      <c r="F163" s="10">
        <v>52</v>
      </c>
      <c r="G163" s="10">
        <v>80.03</v>
      </c>
      <c r="H163" s="10">
        <v>55.417379149999995</v>
      </c>
      <c r="I163" s="6" t="s">
        <v>68</v>
      </c>
      <c r="J163" s="6" t="s">
        <v>298</v>
      </c>
      <c r="K163" s="11" t="str">
        <f>VLOOKUP(SCADA[[#This Row],[Puits]],Puits!$A$1:$F$267,3,FALSE)</f>
        <v>Sud</v>
      </c>
    </row>
    <row r="164" spans="1:11" x14ac:dyDescent="0.25">
      <c r="A164" s="6">
        <v>46</v>
      </c>
      <c r="B164" s="7" t="s">
        <v>56</v>
      </c>
      <c r="C164" s="8">
        <v>45306</v>
      </c>
      <c r="D164" s="7">
        <v>2144</v>
      </c>
      <c r="E164" s="9">
        <v>766</v>
      </c>
      <c r="F164" s="10">
        <v>37.15</v>
      </c>
      <c r="G164" s="10">
        <v>79.400000000000006</v>
      </c>
      <c r="H164" s="10">
        <v>48.38</v>
      </c>
      <c r="I164" s="6" t="s">
        <v>68</v>
      </c>
      <c r="J164" s="6" t="s">
        <v>298</v>
      </c>
      <c r="K164" s="11" t="str">
        <f>VLOOKUP(SCADA[[#This Row],[Puits]],Puits!$A$1:$F$267,3,FALSE)</f>
        <v>Sud</v>
      </c>
    </row>
    <row r="165" spans="1:11" x14ac:dyDescent="0.25">
      <c r="A165" s="6">
        <v>46</v>
      </c>
      <c r="B165" s="7" t="s">
        <v>56</v>
      </c>
      <c r="C165" s="8">
        <v>45306</v>
      </c>
      <c r="D165" s="7">
        <v>2144</v>
      </c>
      <c r="E165" s="9">
        <v>666</v>
      </c>
      <c r="F165" s="10">
        <v>43.8</v>
      </c>
      <c r="G165" s="10">
        <v>81.099999999999994</v>
      </c>
      <c r="H165" s="10">
        <v>54.2</v>
      </c>
      <c r="I165" s="6" t="s">
        <v>68</v>
      </c>
      <c r="J165" s="6" t="s">
        <v>298</v>
      </c>
      <c r="K165" s="11" t="str">
        <f>VLOOKUP(SCADA[[#This Row],[Puits]],Puits!$A$1:$F$267,3,FALSE)</f>
        <v>Sud</v>
      </c>
    </row>
    <row r="166" spans="1:11" x14ac:dyDescent="0.25">
      <c r="A166" s="6">
        <v>46</v>
      </c>
      <c r="B166" s="7" t="s">
        <v>56</v>
      </c>
      <c r="C166" s="8">
        <v>45306</v>
      </c>
      <c r="D166" s="7">
        <v>2144</v>
      </c>
      <c r="E166" s="9">
        <v>428</v>
      </c>
      <c r="F166" s="10">
        <v>50.3</v>
      </c>
      <c r="G166" s="10">
        <v>82.2</v>
      </c>
      <c r="H166" s="10">
        <v>60.07</v>
      </c>
      <c r="I166" s="6" t="s">
        <v>68</v>
      </c>
      <c r="J166" s="6" t="s">
        <v>298</v>
      </c>
      <c r="K166" s="11" t="str">
        <f>VLOOKUP(SCADA[[#This Row],[Puits]],Puits!$A$1:$F$267,3,FALSE)</f>
        <v>Sud</v>
      </c>
    </row>
    <row r="167" spans="1:11" x14ac:dyDescent="0.25">
      <c r="A167" s="6">
        <v>47</v>
      </c>
      <c r="B167" s="7" t="s">
        <v>29</v>
      </c>
      <c r="C167" s="8">
        <v>45306</v>
      </c>
      <c r="D167" s="7">
        <v>2148</v>
      </c>
      <c r="E167" s="9">
        <v>1041</v>
      </c>
      <c r="F167" s="10">
        <v>42</v>
      </c>
      <c r="G167" s="10">
        <v>84.2</v>
      </c>
      <c r="H167" s="10">
        <v>57.82</v>
      </c>
      <c r="I167" s="6" t="s">
        <v>68</v>
      </c>
      <c r="J167" s="6" t="s">
        <v>298</v>
      </c>
      <c r="K167" s="11" t="str">
        <f>VLOOKUP(SCADA[[#This Row],[Puits]],Puits!$A$1:$F$267,3,FALSE)</f>
        <v>Nord</v>
      </c>
    </row>
    <row r="168" spans="1:11" x14ac:dyDescent="0.25">
      <c r="A168" s="6">
        <v>47</v>
      </c>
      <c r="B168" s="7" t="s">
        <v>29</v>
      </c>
      <c r="C168" s="8">
        <v>45306</v>
      </c>
      <c r="D168" s="7">
        <v>2148</v>
      </c>
      <c r="E168" s="9">
        <v>879</v>
      </c>
      <c r="F168" s="10">
        <v>49.5</v>
      </c>
      <c r="G168" s="10">
        <v>85.7</v>
      </c>
      <c r="H168" s="10">
        <v>63.83</v>
      </c>
      <c r="I168" s="6" t="s">
        <v>68</v>
      </c>
      <c r="J168" s="6" t="s">
        <v>298</v>
      </c>
      <c r="K168" s="11" t="str">
        <f>VLOOKUP(SCADA[[#This Row],[Puits]],Puits!$A$1:$F$267,3,FALSE)</f>
        <v>Nord</v>
      </c>
    </row>
    <row r="169" spans="1:11" x14ac:dyDescent="0.25">
      <c r="A169" s="6">
        <v>47</v>
      </c>
      <c r="B169" s="7" t="s">
        <v>29</v>
      </c>
      <c r="C169" s="8">
        <v>45306</v>
      </c>
      <c r="D169" s="7">
        <v>2148</v>
      </c>
      <c r="E169" s="9">
        <v>393</v>
      </c>
      <c r="F169" s="10">
        <v>66.2</v>
      </c>
      <c r="G169" s="10">
        <v>89.1</v>
      </c>
      <c r="H169" s="10">
        <v>78.91</v>
      </c>
      <c r="I169" s="6" t="s">
        <v>68</v>
      </c>
      <c r="J169" s="6" t="s">
        <v>298</v>
      </c>
      <c r="K169" s="11" t="str">
        <f>VLOOKUP(SCADA[[#This Row],[Puits]],Puits!$A$1:$F$267,3,FALSE)</f>
        <v>Nord</v>
      </c>
    </row>
    <row r="170" spans="1:11" x14ac:dyDescent="0.25">
      <c r="A170" s="6">
        <v>48</v>
      </c>
      <c r="B170" s="7" t="s">
        <v>30</v>
      </c>
      <c r="C170" s="8">
        <v>45307</v>
      </c>
      <c r="D170" s="7">
        <v>2080</v>
      </c>
      <c r="E170" s="9">
        <v>663</v>
      </c>
      <c r="F170" s="10">
        <v>36.9</v>
      </c>
      <c r="G170" s="10">
        <v>82.7</v>
      </c>
      <c r="H170" s="10">
        <v>47.6</v>
      </c>
      <c r="I170" s="6" t="s">
        <v>68</v>
      </c>
      <c r="J170" s="6" t="s">
        <v>297</v>
      </c>
      <c r="K170" s="11" t="str">
        <f>VLOOKUP(SCADA[[#This Row],[Puits]],Puits!$A$1:$F$267,3,FALSE)</f>
        <v>Nord</v>
      </c>
    </row>
    <row r="171" spans="1:11" x14ac:dyDescent="0.25">
      <c r="A171" s="6">
        <v>48</v>
      </c>
      <c r="B171" s="7" t="s">
        <v>30</v>
      </c>
      <c r="C171" s="8">
        <v>45307</v>
      </c>
      <c r="D171" s="7">
        <v>2080</v>
      </c>
      <c r="E171" s="9">
        <v>593</v>
      </c>
      <c r="F171" s="10">
        <v>43.5</v>
      </c>
      <c r="G171" s="10">
        <v>84.3</v>
      </c>
      <c r="H171" s="10">
        <v>53.8</v>
      </c>
      <c r="I171" s="6" t="s">
        <v>68</v>
      </c>
      <c r="J171" s="6" t="s">
        <v>297</v>
      </c>
      <c r="K171" s="11" t="str">
        <f>VLOOKUP(SCADA[[#This Row],[Puits]],Puits!$A$1:$F$267,3,FALSE)</f>
        <v>Nord</v>
      </c>
    </row>
    <row r="172" spans="1:11" x14ac:dyDescent="0.25">
      <c r="A172" s="6">
        <v>48</v>
      </c>
      <c r="B172" s="7" t="s">
        <v>30</v>
      </c>
      <c r="C172" s="8">
        <v>45307</v>
      </c>
      <c r="D172" s="7">
        <v>2080</v>
      </c>
      <c r="E172" s="9">
        <v>484</v>
      </c>
      <c r="F172" s="10">
        <v>50.6</v>
      </c>
      <c r="G172" s="10">
        <v>85.9</v>
      </c>
      <c r="H172" s="10">
        <v>60.5</v>
      </c>
      <c r="I172" s="6" t="s">
        <v>68</v>
      </c>
      <c r="J172" s="6" t="s">
        <v>297</v>
      </c>
      <c r="K172" s="11" t="str">
        <f>VLOOKUP(SCADA[[#This Row],[Puits]],Puits!$A$1:$F$267,3,FALSE)</f>
        <v>Nord</v>
      </c>
    </row>
    <row r="173" spans="1:11" x14ac:dyDescent="0.25">
      <c r="A173" s="6">
        <v>49</v>
      </c>
      <c r="B173" s="7" t="s">
        <v>31</v>
      </c>
      <c r="C173" s="8">
        <v>45307</v>
      </c>
      <c r="D173" s="7">
        <v>2120</v>
      </c>
      <c r="E173" s="9">
        <v>709</v>
      </c>
      <c r="F173" s="10">
        <v>43.7</v>
      </c>
      <c r="G173" s="10">
        <v>84.07</v>
      </c>
      <c r="H173" s="10">
        <v>59.9</v>
      </c>
      <c r="I173" s="6" t="s">
        <v>68</v>
      </c>
      <c r="J173" s="6" t="s">
        <v>298</v>
      </c>
      <c r="K173" s="11" t="str">
        <f>VLOOKUP(SCADA[[#This Row],[Puits]],Puits!$A$1:$F$267,3,FALSE)</f>
        <v>Sud</v>
      </c>
    </row>
    <row r="174" spans="1:11" x14ac:dyDescent="0.25">
      <c r="A174" s="6">
        <v>49</v>
      </c>
      <c r="B174" s="7" t="s">
        <v>31</v>
      </c>
      <c r="C174" s="8">
        <v>45307</v>
      </c>
      <c r="D174" s="7">
        <v>2120</v>
      </c>
      <c r="E174" s="9">
        <v>600</v>
      </c>
      <c r="F174" s="10">
        <v>49.6</v>
      </c>
      <c r="G174" s="10">
        <v>85.1</v>
      </c>
      <c r="H174" s="10">
        <v>63.57</v>
      </c>
      <c r="I174" s="6" t="s">
        <v>68</v>
      </c>
      <c r="J174" s="6" t="s">
        <v>298</v>
      </c>
      <c r="K174" s="11" t="str">
        <f>VLOOKUP(SCADA[[#This Row],[Puits]],Puits!$A$1:$F$267,3,FALSE)</f>
        <v>Sud</v>
      </c>
    </row>
    <row r="175" spans="1:11" x14ac:dyDescent="0.25">
      <c r="A175" s="6">
        <v>49</v>
      </c>
      <c r="B175" s="7" t="s">
        <v>31</v>
      </c>
      <c r="C175" s="8">
        <v>45307</v>
      </c>
      <c r="D175" s="7">
        <v>2120</v>
      </c>
      <c r="E175" s="9">
        <v>428</v>
      </c>
      <c r="F175" s="10">
        <v>56.8</v>
      </c>
      <c r="G175" s="10">
        <v>86.4</v>
      </c>
      <c r="H175" s="10">
        <v>68.3</v>
      </c>
      <c r="I175" s="6" t="s">
        <v>68</v>
      </c>
      <c r="J175" s="6" t="s">
        <v>298</v>
      </c>
      <c r="K175" s="11" t="str">
        <f>VLOOKUP(SCADA[[#This Row],[Puits]],Puits!$A$1:$F$267,3,FALSE)</f>
        <v>Sud</v>
      </c>
    </row>
    <row r="176" spans="1:11" x14ac:dyDescent="0.25">
      <c r="A176" s="6">
        <v>50</v>
      </c>
      <c r="B176" s="7" t="s">
        <v>32</v>
      </c>
      <c r="C176" s="8">
        <v>45308</v>
      </c>
      <c r="D176" s="7">
        <v>2157</v>
      </c>
      <c r="E176" s="9">
        <v>1005</v>
      </c>
      <c r="F176" s="10">
        <v>38.6</v>
      </c>
      <c r="G176" s="10">
        <v>86.75</v>
      </c>
      <c r="H176" s="10">
        <v>54.1</v>
      </c>
      <c r="I176" s="6" t="s">
        <v>68</v>
      </c>
      <c r="J176" s="6" t="s">
        <v>298</v>
      </c>
      <c r="K176" s="11" t="str">
        <f>VLOOKUP(SCADA[[#This Row],[Puits]],Puits!$A$1:$F$267,3,FALSE)</f>
        <v>Nord</v>
      </c>
    </row>
    <row r="177" spans="1:11" x14ac:dyDescent="0.25">
      <c r="A177" s="6">
        <v>50</v>
      </c>
      <c r="B177" s="7" t="s">
        <v>32</v>
      </c>
      <c r="C177" s="8">
        <v>45308</v>
      </c>
      <c r="D177" s="7">
        <v>2157</v>
      </c>
      <c r="E177" s="9">
        <v>898</v>
      </c>
      <c r="F177" s="10">
        <v>43.17</v>
      </c>
      <c r="G177" s="10">
        <v>87.49</v>
      </c>
      <c r="H177" s="10">
        <v>57.1</v>
      </c>
      <c r="I177" s="6" t="s">
        <v>68</v>
      </c>
      <c r="J177" s="6" t="s">
        <v>298</v>
      </c>
      <c r="K177" s="11" t="str">
        <f>VLOOKUP(SCADA[[#This Row],[Puits]],Puits!$A$1:$F$267,3,FALSE)</f>
        <v>Nord</v>
      </c>
    </row>
    <row r="178" spans="1:11" x14ac:dyDescent="0.25">
      <c r="A178" s="6">
        <v>50</v>
      </c>
      <c r="B178" s="7" t="s">
        <v>32</v>
      </c>
      <c r="C178" s="8">
        <v>45308</v>
      </c>
      <c r="D178" s="7">
        <v>2157</v>
      </c>
      <c r="E178" s="9">
        <v>669</v>
      </c>
      <c r="F178" s="10">
        <v>50.9</v>
      </c>
      <c r="G178" s="10">
        <v>88.74</v>
      </c>
      <c r="H178" s="10">
        <v>62.9</v>
      </c>
      <c r="I178" s="6" t="s">
        <v>68</v>
      </c>
      <c r="J178" s="6" t="s">
        <v>298</v>
      </c>
      <c r="K178" s="11" t="str">
        <f>VLOOKUP(SCADA[[#This Row],[Puits]],Puits!$A$1:$F$267,3,FALSE)</f>
        <v>Nord</v>
      </c>
    </row>
    <row r="179" spans="1:11" x14ac:dyDescent="0.25">
      <c r="A179" s="6">
        <v>51</v>
      </c>
      <c r="B179" s="7" t="s">
        <v>57</v>
      </c>
      <c r="C179" s="8">
        <v>45308</v>
      </c>
      <c r="D179" s="7">
        <v>2158</v>
      </c>
      <c r="E179" s="9">
        <v>298</v>
      </c>
      <c r="F179" s="10">
        <v>35.5</v>
      </c>
      <c r="G179" s="10">
        <v>78.599999999999994</v>
      </c>
      <c r="H179" s="10">
        <v>41.87</v>
      </c>
      <c r="I179" s="6" t="s">
        <v>68</v>
      </c>
      <c r="J179" s="6" t="s">
        <v>298</v>
      </c>
      <c r="K179" s="11" t="str">
        <f>VLOOKUP(SCADA[[#This Row],[Puits]],Puits!$A$1:$F$267,3,FALSE)</f>
        <v>Sud</v>
      </c>
    </row>
    <row r="180" spans="1:11" x14ac:dyDescent="0.25">
      <c r="A180" s="6">
        <v>51</v>
      </c>
      <c r="B180" s="7" t="s">
        <v>57</v>
      </c>
      <c r="C180" s="8">
        <v>45308</v>
      </c>
      <c r="D180" s="7">
        <v>2158</v>
      </c>
      <c r="E180" s="9">
        <v>243</v>
      </c>
      <c r="F180" s="10">
        <v>42</v>
      </c>
      <c r="G180" s="10">
        <v>80.5</v>
      </c>
      <c r="H180" s="10">
        <v>49.07</v>
      </c>
      <c r="I180" s="6" t="s">
        <v>68</v>
      </c>
      <c r="J180" s="6" t="s">
        <v>298</v>
      </c>
      <c r="K180" s="11" t="str">
        <f>VLOOKUP(SCADA[[#This Row],[Puits]],Puits!$A$1:$F$267,3,FALSE)</f>
        <v>Sud</v>
      </c>
    </row>
    <row r="181" spans="1:11" x14ac:dyDescent="0.25">
      <c r="A181" s="6">
        <v>51</v>
      </c>
      <c r="B181" s="7" t="s">
        <v>57</v>
      </c>
      <c r="C181" s="8">
        <v>45308</v>
      </c>
      <c r="D181" s="7">
        <v>2158</v>
      </c>
      <c r="E181" s="9">
        <v>170</v>
      </c>
      <c r="F181" s="10">
        <v>49</v>
      </c>
      <c r="G181" s="10">
        <v>82.8</v>
      </c>
      <c r="H181" s="10">
        <v>57.8</v>
      </c>
      <c r="I181" s="6" t="s">
        <v>68</v>
      </c>
      <c r="J181" s="6" t="s">
        <v>298</v>
      </c>
      <c r="K181" s="11" t="str">
        <f>VLOOKUP(SCADA[[#This Row],[Puits]],Puits!$A$1:$F$267,3,FALSE)</f>
        <v>Sud</v>
      </c>
    </row>
    <row r="182" spans="1:11" x14ac:dyDescent="0.25">
      <c r="A182" s="6">
        <v>52</v>
      </c>
      <c r="B182" s="7" t="s">
        <v>33</v>
      </c>
      <c r="C182" s="8">
        <v>45309</v>
      </c>
      <c r="D182" s="7">
        <v>2075</v>
      </c>
      <c r="E182" s="9">
        <v>228</v>
      </c>
      <c r="F182" s="10">
        <v>36.9</v>
      </c>
      <c r="G182" s="10">
        <v>85.5</v>
      </c>
      <c r="H182" s="10">
        <v>53.29</v>
      </c>
      <c r="I182" s="6" t="s">
        <v>68</v>
      </c>
      <c r="J182" s="6" t="s">
        <v>297</v>
      </c>
      <c r="K182" s="11" t="str">
        <f>VLOOKUP(SCADA[[#This Row],[Puits]],Puits!$A$1:$F$267,3,FALSE)</f>
        <v>Nord</v>
      </c>
    </row>
    <row r="183" spans="1:11" x14ac:dyDescent="0.25">
      <c r="A183" s="6">
        <v>52</v>
      </c>
      <c r="B183" s="7" t="s">
        <v>33</v>
      </c>
      <c r="C183" s="8">
        <v>45309</v>
      </c>
      <c r="D183" s="7">
        <v>2075</v>
      </c>
      <c r="E183" s="9">
        <v>182</v>
      </c>
      <c r="F183" s="10">
        <v>43.13</v>
      </c>
      <c r="G183" s="10">
        <v>86.4</v>
      </c>
      <c r="H183" s="10">
        <v>58.46</v>
      </c>
      <c r="I183" s="6" t="s">
        <v>68</v>
      </c>
      <c r="J183" s="6" t="s">
        <v>297</v>
      </c>
      <c r="K183" s="11" t="str">
        <f>VLOOKUP(SCADA[[#This Row],[Puits]],Puits!$A$1:$F$267,3,FALSE)</f>
        <v>Nord</v>
      </c>
    </row>
    <row r="184" spans="1:11" x14ac:dyDescent="0.25">
      <c r="A184" s="6">
        <v>52</v>
      </c>
      <c r="B184" s="7" t="s">
        <v>33</v>
      </c>
      <c r="C184" s="8">
        <v>45309</v>
      </c>
      <c r="D184" s="7">
        <v>2075</v>
      </c>
      <c r="E184" s="9">
        <v>106</v>
      </c>
      <c r="F184" s="10">
        <v>49.2</v>
      </c>
      <c r="G184" s="10">
        <v>87</v>
      </c>
      <c r="H184" s="10">
        <v>64.599999999999994</v>
      </c>
      <c r="I184" s="6" t="s">
        <v>68</v>
      </c>
      <c r="J184" s="6" t="s">
        <v>297</v>
      </c>
      <c r="K184" s="11" t="str">
        <f>VLOOKUP(SCADA[[#This Row],[Puits]],Puits!$A$1:$F$267,3,FALSE)</f>
        <v>Nord</v>
      </c>
    </row>
    <row r="185" spans="1:11" x14ac:dyDescent="0.25">
      <c r="A185" s="6">
        <v>53</v>
      </c>
      <c r="B185" s="7" t="s">
        <v>58</v>
      </c>
      <c r="C185" s="8">
        <v>45309</v>
      </c>
      <c r="D185" s="7">
        <v>2170</v>
      </c>
      <c r="E185" s="9">
        <v>828</v>
      </c>
      <c r="F185" s="10">
        <v>37.200000000000003</v>
      </c>
      <c r="G185" s="10">
        <v>80.900000000000006</v>
      </c>
      <c r="H185" s="10">
        <v>54.9</v>
      </c>
      <c r="I185" s="6" t="s">
        <v>68</v>
      </c>
      <c r="J185" s="6" t="s">
        <v>298</v>
      </c>
      <c r="K185" s="11" t="str">
        <f>VLOOKUP(SCADA[[#This Row],[Puits]],Puits!$A$1:$F$267,3,FALSE)</f>
        <v>Sud</v>
      </c>
    </row>
    <row r="186" spans="1:11" x14ac:dyDescent="0.25">
      <c r="A186" s="6">
        <v>53</v>
      </c>
      <c r="B186" s="7" t="s">
        <v>58</v>
      </c>
      <c r="C186" s="8">
        <v>45309</v>
      </c>
      <c r="D186" s="7">
        <v>2170</v>
      </c>
      <c r="E186" s="9">
        <v>695</v>
      </c>
      <c r="F186" s="10">
        <v>44.4</v>
      </c>
      <c r="G186" s="10">
        <v>82.26</v>
      </c>
      <c r="H186" s="10">
        <v>59.5</v>
      </c>
      <c r="I186" s="6" t="s">
        <v>68</v>
      </c>
      <c r="J186" s="6" t="s">
        <v>298</v>
      </c>
      <c r="K186" s="11" t="str">
        <f>VLOOKUP(SCADA[[#This Row],[Puits]],Puits!$A$1:$F$267,3,FALSE)</f>
        <v>Sud</v>
      </c>
    </row>
    <row r="187" spans="1:11" x14ac:dyDescent="0.25">
      <c r="A187" s="6">
        <v>53</v>
      </c>
      <c r="B187" s="7" t="s">
        <v>58</v>
      </c>
      <c r="C187" s="8">
        <v>45309</v>
      </c>
      <c r="D187" s="7">
        <v>2170</v>
      </c>
      <c r="E187" s="9">
        <v>469</v>
      </c>
      <c r="F187" s="10">
        <v>52.4</v>
      </c>
      <c r="G187" s="10">
        <v>83.6</v>
      </c>
      <c r="H187" s="10">
        <v>64.8</v>
      </c>
      <c r="I187" s="6" t="s">
        <v>68</v>
      </c>
      <c r="J187" s="6" t="s">
        <v>298</v>
      </c>
      <c r="K187" s="11" t="str">
        <f>VLOOKUP(SCADA[[#This Row],[Puits]],Puits!$A$1:$F$267,3,FALSE)</f>
        <v>Sud</v>
      </c>
    </row>
    <row r="188" spans="1:11" x14ac:dyDescent="0.25">
      <c r="A188" s="6">
        <v>54</v>
      </c>
      <c r="B188" s="7" t="s">
        <v>59</v>
      </c>
      <c r="C188" s="8">
        <v>45312</v>
      </c>
      <c r="D188" s="7">
        <v>1998</v>
      </c>
      <c r="E188" s="9">
        <v>498</v>
      </c>
      <c r="F188" s="10">
        <v>41.9</v>
      </c>
      <c r="G188" s="10">
        <v>80.150000000000006</v>
      </c>
      <c r="H188" s="10">
        <v>64.599999999999994</v>
      </c>
      <c r="I188" s="6" t="s">
        <v>68</v>
      </c>
      <c r="J188" s="6" t="s">
        <v>303</v>
      </c>
      <c r="K188" s="11" t="str">
        <f>VLOOKUP(SCADA[[#This Row],[Puits]],Puits!$A$1:$F$267,3,FALSE)</f>
        <v>Sud</v>
      </c>
    </row>
    <row r="189" spans="1:11" x14ac:dyDescent="0.25">
      <c r="A189" s="6">
        <v>54</v>
      </c>
      <c r="B189" s="7" t="s">
        <v>59</v>
      </c>
      <c r="C189" s="8">
        <v>45312</v>
      </c>
      <c r="D189" s="7">
        <v>1998</v>
      </c>
      <c r="E189" s="9">
        <v>426</v>
      </c>
      <c r="F189" s="10">
        <v>47.2</v>
      </c>
      <c r="G189" s="10">
        <v>80.569999999999993</v>
      </c>
      <c r="H189" s="10">
        <v>66.2</v>
      </c>
      <c r="I189" s="6" t="s">
        <v>68</v>
      </c>
      <c r="J189" s="6" t="s">
        <v>303</v>
      </c>
      <c r="K189" s="11" t="str">
        <f>VLOOKUP(SCADA[[#This Row],[Puits]],Puits!$A$1:$F$267,3,FALSE)</f>
        <v>Sud</v>
      </c>
    </row>
    <row r="190" spans="1:11" x14ac:dyDescent="0.25">
      <c r="A190" s="6">
        <v>54</v>
      </c>
      <c r="B190" s="7" t="s">
        <v>59</v>
      </c>
      <c r="C190" s="8">
        <v>45312</v>
      </c>
      <c r="D190" s="7">
        <v>1998</v>
      </c>
      <c r="E190" s="9">
        <v>363</v>
      </c>
      <c r="F190" s="10">
        <v>51.6</v>
      </c>
      <c r="G190" s="10">
        <v>80.930000000000007</v>
      </c>
      <c r="H190" s="10">
        <v>67.7</v>
      </c>
      <c r="I190" s="6" t="s">
        <v>68</v>
      </c>
      <c r="J190" s="6" t="s">
        <v>303</v>
      </c>
      <c r="K190" s="11" t="str">
        <f>VLOOKUP(SCADA[[#This Row],[Puits]],Puits!$A$1:$F$267,3,FALSE)</f>
        <v>Sud</v>
      </c>
    </row>
    <row r="191" spans="1:11" x14ac:dyDescent="0.25">
      <c r="A191" s="6">
        <v>55</v>
      </c>
      <c r="B191" s="7" t="s">
        <v>60</v>
      </c>
      <c r="C191" s="8">
        <v>45313</v>
      </c>
      <c r="D191" s="7">
        <v>2156</v>
      </c>
      <c r="E191" s="9">
        <v>970</v>
      </c>
      <c r="F191" s="10">
        <v>43.2</v>
      </c>
      <c r="G191" s="10">
        <v>84.6</v>
      </c>
      <c r="H191" s="10">
        <v>64.900000000000006</v>
      </c>
      <c r="I191" s="6" t="s">
        <v>68</v>
      </c>
      <c r="J191" s="6" t="s">
        <v>298</v>
      </c>
      <c r="K191" s="11" t="str">
        <f>VLOOKUP(SCADA[[#This Row],[Puits]],Puits!$A$1:$F$267,3,FALSE)</f>
        <v>Sud</v>
      </c>
    </row>
    <row r="192" spans="1:11" x14ac:dyDescent="0.25">
      <c r="A192" s="6">
        <v>55</v>
      </c>
      <c r="B192" s="7" t="s">
        <v>60</v>
      </c>
      <c r="C192" s="8">
        <v>45313</v>
      </c>
      <c r="D192" s="7">
        <v>2156</v>
      </c>
      <c r="E192" s="9">
        <v>739</v>
      </c>
      <c r="F192" s="10">
        <v>49.3</v>
      </c>
      <c r="G192" s="10">
        <v>84.9</v>
      </c>
      <c r="H192" s="10">
        <v>66.040000000000006</v>
      </c>
      <c r="I192" s="6" t="s">
        <v>68</v>
      </c>
      <c r="J192" s="6" t="s">
        <v>298</v>
      </c>
      <c r="K192" s="11" t="str">
        <f>VLOOKUP(SCADA[[#This Row],[Puits]],Puits!$A$1:$F$267,3,FALSE)</f>
        <v>Sud</v>
      </c>
    </row>
    <row r="193" spans="1:11" x14ac:dyDescent="0.25">
      <c r="A193" s="6">
        <v>55</v>
      </c>
      <c r="B193" s="7" t="s">
        <v>60</v>
      </c>
      <c r="C193" s="8">
        <v>45313</v>
      </c>
      <c r="D193" s="7">
        <v>2156</v>
      </c>
      <c r="E193" s="9">
        <v>463</v>
      </c>
      <c r="F193" s="10">
        <v>54</v>
      </c>
      <c r="G193" s="10">
        <v>85.1</v>
      </c>
      <c r="H193" s="10">
        <v>67.099999999999994</v>
      </c>
      <c r="I193" s="6" t="s">
        <v>68</v>
      </c>
      <c r="J193" s="6" t="s">
        <v>298</v>
      </c>
      <c r="K193" s="11" t="str">
        <f>VLOOKUP(SCADA[[#This Row],[Puits]],Puits!$A$1:$F$267,3,FALSE)</f>
        <v>Sud</v>
      </c>
    </row>
    <row r="194" spans="1:11" x14ac:dyDescent="0.25">
      <c r="A194" s="6">
        <v>56</v>
      </c>
      <c r="B194" s="7" t="s">
        <v>61</v>
      </c>
      <c r="C194" s="8">
        <v>45315</v>
      </c>
      <c r="D194" s="7">
        <v>2090</v>
      </c>
      <c r="E194" s="9">
        <v>924</v>
      </c>
      <c r="F194" s="10">
        <v>37.9</v>
      </c>
      <c r="G194" s="10">
        <v>80.5</v>
      </c>
      <c r="H194" s="10">
        <v>56.4</v>
      </c>
      <c r="I194" s="6" t="s">
        <v>68</v>
      </c>
      <c r="J194" s="6" t="s">
        <v>298</v>
      </c>
      <c r="K194" s="11" t="str">
        <f>VLOOKUP(SCADA[[#This Row],[Puits]],Puits!$A$1:$F$267,3,FALSE)</f>
        <v>Sud</v>
      </c>
    </row>
    <row r="195" spans="1:11" x14ac:dyDescent="0.25">
      <c r="A195" s="6">
        <v>56</v>
      </c>
      <c r="B195" s="7" t="s">
        <v>61</v>
      </c>
      <c r="C195" s="8">
        <v>45315</v>
      </c>
      <c r="D195" s="7">
        <v>2090</v>
      </c>
      <c r="E195" s="9">
        <v>788</v>
      </c>
      <c r="F195" s="10">
        <v>40.6</v>
      </c>
      <c r="G195" s="10">
        <v>81.02</v>
      </c>
      <c r="H195" s="10">
        <v>58.1</v>
      </c>
      <c r="I195" s="6" t="s">
        <v>68</v>
      </c>
      <c r="J195" s="6" t="s">
        <v>298</v>
      </c>
      <c r="K195" s="11" t="str">
        <f>VLOOKUP(SCADA[[#This Row],[Puits]],Puits!$A$1:$F$267,3,FALSE)</f>
        <v>Sud</v>
      </c>
    </row>
    <row r="196" spans="1:11" x14ac:dyDescent="0.25">
      <c r="A196" s="6">
        <v>56</v>
      </c>
      <c r="B196" s="7" t="s">
        <v>61</v>
      </c>
      <c r="C196" s="8">
        <v>45315</v>
      </c>
      <c r="D196" s="7">
        <v>2090</v>
      </c>
      <c r="E196" s="9">
        <v>665</v>
      </c>
      <c r="F196" s="10">
        <v>43.8</v>
      </c>
      <c r="G196" s="10">
        <v>81.5</v>
      </c>
      <c r="H196" s="10">
        <v>59.8</v>
      </c>
      <c r="I196" s="6" t="s">
        <v>68</v>
      </c>
      <c r="J196" s="6" t="s">
        <v>298</v>
      </c>
      <c r="K196" s="11" t="str">
        <f>VLOOKUP(SCADA[[#This Row],[Puits]],Puits!$A$1:$F$267,3,FALSE)</f>
        <v>Sud</v>
      </c>
    </row>
    <row r="197" spans="1:11" x14ac:dyDescent="0.25">
      <c r="A197" s="6">
        <v>57</v>
      </c>
      <c r="B197" s="7" t="s">
        <v>34</v>
      </c>
      <c r="C197" s="8">
        <v>45316</v>
      </c>
      <c r="D197" s="7">
        <v>2070</v>
      </c>
      <c r="E197" s="9">
        <v>526</v>
      </c>
      <c r="F197" s="10">
        <v>35</v>
      </c>
      <c r="G197" s="10">
        <v>82.7</v>
      </c>
      <c r="H197" s="10">
        <v>44.19</v>
      </c>
      <c r="I197" s="6" t="s">
        <v>68</v>
      </c>
      <c r="J197" s="6" t="s">
        <v>297</v>
      </c>
      <c r="K197" s="11" t="str">
        <f>VLOOKUP(SCADA[[#This Row],[Puits]],Puits!$A$1:$F$267,3,FALSE)</f>
        <v>Nord</v>
      </c>
    </row>
    <row r="198" spans="1:11" x14ac:dyDescent="0.25">
      <c r="A198" s="6">
        <v>57</v>
      </c>
      <c r="B198" s="7" t="s">
        <v>34</v>
      </c>
      <c r="C198" s="8">
        <v>45316</v>
      </c>
      <c r="D198" s="7">
        <v>2070</v>
      </c>
      <c r="E198" s="9">
        <v>457</v>
      </c>
      <c r="F198" s="10">
        <v>42.5</v>
      </c>
      <c r="G198" s="10">
        <v>84.9</v>
      </c>
      <c r="H198" s="10">
        <v>52.26</v>
      </c>
      <c r="I198" s="6" t="s">
        <v>68</v>
      </c>
      <c r="J198" s="6" t="s">
        <v>297</v>
      </c>
      <c r="K198" s="11" t="str">
        <f>VLOOKUP(SCADA[[#This Row],[Puits]],Puits!$A$1:$F$267,3,FALSE)</f>
        <v>Nord</v>
      </c>
    </row>
    <row r="199" spans="1:11" x14ac:dyDescent="0.25">
      <c r="A199" s="6">
        <v>57</v>
      </c>
      <c r="B199" s="7" t="s">
        <v>34</v>
      </c>
      <c r="C199" s="8">
        <v>45316</v>
      </c>
      <c r="D199" s="7">
        <v>2070</v>
      </c>
      <c r="E199" s="9">
        <v>400</v>
      </c>
      <c r="F199" s="10">
        <v>48.5</v>
      </c>
      <c r="G199" s="10">
        <v>86.2</v>
      </c>
      <c r="H199" s="10">
        <v>57.64</v>
      </c>
      <c r="I199" s="6" t="s">
        <v>68</v>
      </c>
      <c r="J199" s="6" t="s">
        <v>297</v>
      </c>
      <c r="K199" s="11" t="str">
        <f>VLOOKUP(SCADA[[#This Row],[Puits]],Puits!$A$1:$F$267,3,FALSE)</f>
        <v>Nord</v>
      </c>
    </row>
    <row r="200" spans="1:11" x14ac:dyDescent="0.25">
      <c r="A200" s="6">
        <v>58</v>
      </c>
      <c r="B200" s="7" t="s">
        <v>62</v>
      </c>
      <c r="C200" s="8">
        <v>45319</v>
      </c>
      <c r="D200" s="7">
        <v>2157</v>
      </c>
      <c r="E200" s="9">
        <v>1126</v>
      </c>
      <c r="F200" s="10">
        <v>36.799999999999997</v>
      </c>
      <c r="G200" s="10">
        <v>82.08</v>
      </c>
      <c r="H200" s="10">
        <v>56.67</v>
      </c>
      <c r="I200" s="6" t="s">
        <v>68</v>
      </c>
      <c r="J200" s="6" t="s">
        <v>298</v>
      </c>
      <c r="K200" s="11" t="str">
        <f>VLOOKUP(SCADA[[#This Row],[Puits]],Puits!$A$1:$F$267,3,FALSE)</f>
        <v>Sud</v>
      </c>
    </row>
    <row r="201" spans="1:11" x14ac:dyDescent="0.25">
      <c r="A201" s="6">
        <v>58</v>
      </c>
      <c r="B201" s="7" t="s">
        <v>62</v>
      </c>
      <c r="C201" s="8">
        <v>45319</v>
      </c>
      <c r="D201" s="7">
        <v>2157</v>
      </c>
      <c r="E201" s="9">
        <v>930</v>
      </c>
      <c r="F201" s="10">
        <v>42.7</v>
      </c>
      <c r="G201" s="10">
        <v>82.8</v>
      </c>
      <c r="H201" s="10">
        <v>59.28</v>
      </c>
      <c r="I201" s="6" t="s">
        <v>68</v>
      </c>
      <c r="J201" s="6" t="s">
        <v>298</v>
      </c>
      <c r="K201" s="11" t="str">
        <f>VLOOKUP(SCADA[[#This Row],[Puits]],Puits!$A$1:$F$267,3,FALSE)</f>
        <v>Sud</v>
      </c>
    </row>
    <row r="202" spans="1:11" x14ac:dyDescent="0.25">
      <c r="A202" s="6">
        <v>58</v>
      </c>
      <c r="B202" s="7" t="s">
        <v>62</v>
      </c>
      <c r="C202" s="8">
        <v>45319</v>
      </c>
      <c r="D202" s="7">
        <v>2157</v>
      </c>
      <c r="E202" s="9">
        <v>634</v>
      </c>
      <c r="F202" s="10">
        <v>50</v>
      </c>
      <c r="G202" s="10">
        <v>83.64</v>
      </c>
      <c r="H202" s="10">
        <v>62.52</v>
      </c>
      <c r="I202" s="6" t="s">
        <v>68</v>
      </c>
      <c r="J202" s="6" t="s">
        <v>298</v>
      </c>
      <c r="K202" s="11" t="str">
        <f>VLOOKUP(SCADA[[#This Row],[Puits]],Puits!$A$1:$F$267,3,FALSE)</f>
        <v>Sud</v>
      </c>
    </row>
    <row r="203" spans="1:11" x14ac:dyDescent="0.25">
      <c r="A203" s="6">
        <v>59</v>
      </c>
      <c r="B203" s="7" t="s">
        <v>35</v>
      </c>
      <c r="C203" s="8">
        <v>45320</v>
      </c>
      <c r="D203" s="7">
        <v>2130</v>
      </c>
      <c r="E203" s="9">
        <v>886</v>
      </c>
      <c r="F203" s="10">
        <v>48.2</v>
      </c>
      <c r="G203" s="10">
        <v>77.900000000000006</v>
      </c>
      <c r="H203" s="10">
        <v>60.22</v>
      </c>
      <c r="I203" s="6" t="s">
        <v>68</v>
      </c>
      <c r="J203" s="6" t="s">
        <v>298</v>
      </c>
      <c r="K203" s="11" t="str">
        <f>VLOOKUP(SCADA[[#This Row],[Puits]],Puits!$A$1:$F$267,3,FALSE)</f>
        <v>Sud</v>
      </c>
    </row>
    <row r="204" spans="1:11" x14ac:dyDescent="0.25">
      <c r="A204" s="6">
        <v>59</v>
      </c>
      <c r="B204" s="7" t="s">
        <v>35</v>
      </c>
      <c r="C204" s="8">
        <v>45320</v>
      </c>
      <c r="D204" s="7">
        <v>2130</v>
      </c>
      <c r="E204" s="9">
        <v>763</v>
      </c>
      <c r="F204" s="10">
        <v>54.2</v>
      </c>
      <c r="G204" s="10">
        <v>79.5</v>
      </c>
      <c r="H204" s="10">
        <v>65.8</v>
      </c>
      <c r="I204" s="6" t="s">
        <v>68</v>
      </c>
      <c r="J204" s="6" t="s">
        <v>298</v>
      </c>
      <c r="K204" s="11" t="str">
        <f>VLOOKUP(SCADA[[#This Row],[Puits]],Puits!$A$1:$F$267,3,FALSE)</f>
        <v>Sud</v>
      </c>
    </row>
    <row r="205" spans="1:11" x14ac:dyDescent="0.25">
      <c r="A205" s="6">
        <v>59</v>
      </c>
      <c r="B205" s="7" t="s">
        <v>35</v>
      </c>
      <c r="C205" s="8">
        <v>45320</v>
      </c>
      <c r="D205" s="7">
        <v>2130</v>
      </c>
      <c r="E205" s="9">
        <v>590</v>
      </c>
      <c r="F205" s="10">
        <v>60.2</v>
      </c>
      <c r="G205" s="10">
        <v>81.16</v>
      </c>
      <c r="H205" s="10">
        <v>71.599999999999994</v>
      </c>
      <c r="I205" s="6" t="s">
        <v>68</v>
      </c>
      <c r="J205" s="6" t="s">
        <v>298</v>
      </c>
      <c r="K205" s="11" t="str">
        <f>VLOOKUP(SCADA[[#This Row],[Puits]],Puits!$A$1:$F$267,3,FALSE)</f>
        <v>Sud</v>
      </c>
    </row>
    <row r="206" spans="1:11" x14ac:dyDescent="0.25">
      <c r="A206" s="6">
        <v>60</v>
      </c>
      <c r="B206" s="7" t="s">
        <v>63</v>
      </c>
      <c r="C206" s="8">
        <v>45321</v>
      </c>
      <c r="D206" s="7">
        <v>2126</v>
      </c>
      <c r="E206" s="9">
        <v>948</v>
      </c>
      <c r="F206" s="10">
        <v>46.6</v>
      </c>
      <c r="G206" s="10">
        <v>78.760000000000005</v>
      </c>
      <c r="H206" s="10">
        <v>60.5</v>
      </c>
      <c r="I206" s="6" t="s">
        <v>67</v>
      </c>
      <c r="J206" s="6" t="s">
        <v>298</v>
      </c>
      <c r="K206" s="11" t="str">
        <f>VLOOKUP(SCADA[[#This Row],[Puits]],Puits!$A$1:$F$267,3,FALSE)</f>
        <v>Sud</v>
      </c>
    </row>
    <row r="207" spans="1:11" x14ac:dyDescent="0.25">
      <c r="A207" s="6">
        <v>60</v>
      </c>
      <c r="B207" s="7" t="s">
        <v>63</v>
      </c>
      <c r="C207" s="8">
        <v>45321</v>
      </c>
      <c r="D207" s="7">
        <v>2126</v>
      </c>
      <c r="E207" s="9">
        <v>750</v>
      </c>
      <c r="F207" s="10">
        <v>52.6</v>
      </c>
      <c r="G207" s="10">
        <v>80</v>
      </c>
      <c r="H207" s="10">
        <v>64.75</v>
      </c>
      <c r="I207" s="6" t="s">
        <v>68</v>
      </c>
      <c r="J207" s="6" t="s">
        <v>298</v>
      </c>
      <c r="K207" s="11" t="str">
        <f>VLOOKUP(SCADA[[#This Row],[Puits]],Puits!$A$1:$F$267,3,FALSE)</f>
        <v>Sud</v>
      </c>
    </row>
    <row r="208" spans="1:11" x14ac:dyDescent="0.25">
      <c r="A208" s="6">
        <v>60</v>
      </c>
      <c r="B208" s="7" t="s">
        <v>63</v>
      </c>
      <c r="C208" s="8">
        <v>45321</v>
      </c>
      <c r="D208" s="7">
        <v>2126</v>
      </c>
      <c r="E208" s="9">
        <v>451</v>
      </c>
      <c r="F208" s="10">
        <v>58.6</v>
      </c>
      <c r="G208" s="10">
        <v>81.209999999999994</v>
      </c>
      <c r="H208" s="10">
        <v>69.400000000000006</v>
      </c>
      <c r="I208" s="6" t="s">
        <v>68</v>
      </c>
      <c r="J208" s="6" t="s">
        <v>298</v>
      </c>
      <c r="K208" s="11" t="str">
        <f>VLOOKUP(SCADA[[#This Row],[Puits]],Puits!$A$1:$F$267,3,FALSE)</f>
        <v>Sud</v>
      </c>
    </row>
    <row r="209" spans="1:11" x14ac:dyDescent="0.25">
      <c r="A209" s="6">
        <v>61</v>
      </c>
      <c r="B209" s="7" t="s">
        <v>64</v>
      </c>
      <c r="C209" s="8">
        <v>45322</v>
      </c>
      <c r="D209" s="7">
        <v>2157</v>
      </c>
      <c r="E209" s="9">
        <v>954</v>
      </c>
      <c r="F209" s="10">
        <v>38.06</v>
      </c>
      <c r="G209" s="10">
        <v>80.73</v>
      </c>
      <c r="H209" s="10">
        <v>51.71</v>
      </c>
      <c r="I209" s="6" t="s">
        <v>67</v>
      </c>
      <c r="J209" s="6" t="s">
        <v>298</v>
      </c>
      <c r="K209" s="11" t="str">
        <f>VLOOKUP(SCADA[[#This Row],[Puits]],Puits!$A$1:$F$267,3,FALSE)</f>
        <v>Sud</v>
      </c>
    </row>
    <row r="210" spans="1:11" x14ac:dyDescent="0.25">
      <c r="A210" s="6">
        <v>61</v>
      </c>
      <c r="B210" s="7" t="s">
        <v>64</v>
      </c>
      <c r="C210" s="8">
        <v>45322</v>
      </c>
      <c r="D210" s="7">
        <v>2157</v>
      </c>
      <c r="E210" s="9">
        <v>797</v>
      </c>
      <c r="F210" s="10">
        <v>44.13</v>
      </c>
      <c r="G210" s="10">
        <v>81.99</v>
      </c>
      <c r="H210" s="10">
        <v>56.1</v>
      </c>
      <c r="I210" s="6" t="s">
        <v>68</v>
      </c>
      <c r="J210" s="6" t="s">
        <v>298</v>
      </c>
      <c r="K210" s="11" t="str">
        <f>VLOOKUP(SCADA[[#This Row],[Puits]],Puits!$A$1:$F$267,3,FALSE)</f>
        <v>Sud</v>
      </c>
    </row>
    <row r="211" spans="1:11" x14ac:dyDescent="0.25">
      <c r="A211" s="6">
        <v>61</v>
      </c>
      <c r="B211" s="7" t="s">
        <v>64</v>
      </c>
      <c r="C211" s="8">
        <v>45322</v>
      </c>
      <c r="D211" s="7">
        <v>2157</v>
      </c>
      <c r="E211" s="9">
        <v>588</v>
      </c>
      <c r="F211" s="10">
        <v>58.6</v>
      </c>
      <c r="G211" s="10">
        <v>83.28</v>
      </c>
      <c r="H211" s="10">
        <v>60.94</v>
      </c>
      <c r="I211" s="6" t="s">
        <v>68</v>
      </c>
      <c r="J211" s="6" t="s">
        <v>298</v>
      </c>
      <c r="K211" s="11" t="str">
        <f>VLOOKUP(SCADA[[#This Row],[Puits]],Puits!$A$1:$F$267,3,FALSE)</f>
        <v>Sud</v>
      </c>
    </row>
    <row r="212" spans="1:11" x14ac:dyDescent="0.25">
      <c r="A212" s="6">
        <v>62</v>
      </c>
      <c r="B212" s="7" t="s">
        <v>209</v>
      </c>
      <c r="C212" s="8">
        <v>45323</v>
      </c>
      <c r="D212" s="7">
        <v>2182</v>
      </c>
      <c r="E212" s="9">
        <v>1264</v>
      </c>
      <c r="F212" s="10">
        <v>40.299999999999997</v>
      </c>
      <c r="G212" s="10">
        <v>82.48</v>
      </c>
      <c r="H212" s="10">
        <v>60.02</v>
      </c>
      <c r="I212" s="6" t="s">
        <v>67</v>
      </c>
      <c r="J212" s="6" t="s">
        <v>298</v>
      </c>
      <c r="K212" s="11" t="str">
        <f>VLOOKUP(SCADA[[#This Row],[Puits]],Puits!$A$1:$F$267,3,FALSE)</f>
        <v>Sud</v>
      </c>
    </row>
    <row r="213" spans="1:11" x14ac:dyDescent="0.25">
      <c r="A213" s="6">
        <v>62</v>
      </c>
      <c r="B213" s="7" t="s">
        <v>209</v>
      </c>
      <c r="C213" s="8">
        <v>45323</v>
      </c>
      <c r="D213" s="7">
        <v>2182</v>
      </c>
      <c r="E213" s="9">
        <v>1012</v>
      </c>
      <c r="F213" s="10">
        <v>46.3</v>
      </c>
      <c r="G213" s="10">
        <v>83.3</v>
      </c>
      <c r="H213" s="10">
        <v>63.19</v>
      </c>
      <c r="I213" s="6" t="s">
        <v>68</v>
      </c>
      <c r="J213" s="6" t="s">
        <v>298</v>
      </c>
      <c r="K213" s="11" t="str">
        <f>VLOOKUP(SCADA[[#This Row],[Puits]],Puits!$A$1:$F$267,3,FALSE)</f>
        <v>Sud</v>
      </c>
    </row>
    <row r="214" spans="1:11" x14ac:dyDescent="0.25">
      <c r="A214" s="6">
        <v>62</v>
      </c>
      <c r="B214" s="7" t="s">
        <v>209</v>
      </c>
      <c r="C214" s="8">
        <v>45323</v>
      </c>
      <c r="D214" s="7">
        <v>2182</v>
      </c>
      <c r="E214" s="9">
        <v>747</v>
      </c>
      <c r="F214" s="10">
        <v>52.3</v>
      </c>
      <c r="G214" s="10">
        <v>84.21</v>
      </c>
      <c r="H214" s="10">
        <v>66.83</v>
      </c>
      <c r="I214" s="6" t="s">
        <v>68</v>
      </c>
      <c r="J214" s="6" t="s">
        <v>298</v>
      </c>
      <c r="K214" s="11" t="str">
        <f>VLOOKUP(SCADA[[#This Row],[Puits]],Puits!$A$1:$F$267,3,FALSE)</f>
        <v>Sud</v>
      </c>
    </row>
    <row r="215" spans="1:11" x14ac:dyDescent="0.25">
      <c r="A215" s="6">
        <v>63</v>
      </c>
      <c r="B215" s="7" t="s">
        <v>301</v>
      </c>
      <c r="C215" s="8">
        <v>45324</v>
      </c>
      <c r="D215" s="7">
        <v>2116</v>
      </c>
      <c r="E215" s="9">
        <v>320</v>
      </c>
      <c r="F215" s="10">
        <v>34.799999999999997</v>
      </c>
      <c r="G215" s="10">
        <v>77.7</v>
      </c>
      <c r="H215" s="10">
        <v>46.81</v>
      </c>
      <c r="I215" s="6" t="s">
        <v>67</v>
      </c>
      <c r="J215" s="6" t="s">
        <v>298</v>
      </c>
      <c r="K215" s="11" t="e">
        <f>VLOOKUP(SCADA[[#This Row],[Puits]],Puits!$A$1:$F$267,3,FALSE)</f>
        <v>#N/A</v>
      </c>
    </row>
    <row r="216" spans="1:11" x14ac:dyDescent="0.25">
      <c r="A216" s="6">
        <v>63</v>
      </c>
      <c r="B216" s="7" t="s">
        <v>301</v>
      </c>
      <c r="C216" s="8">
        <v>45324</v>
      </c>
      <c r="D216" s="7">
        <v>2116</v>
      </c>
      <c r="E216" s="9">
        <v>204</v>
      </c>
      <c r="F216" s="10">
        <v>41</v>
      </c>
      <c r="G216" s="10">
        <v>79.400000000000006</v>
      </c>
      <c r="H216" s="10">
        <v>52.46</v>
      </c>
      <c r="I216" s="6" t="s">
        <v>68</v>
      </c>
      <c r="J216" s="6" t="s">
        <v>298</v>
      </c>
      <c r="K216" s="11" t="e">
        <f>VLOOKUP(SCADA[[#This Row],[Puits]],Puits!$A$1:$F$267,3,FALSE)</f>
        <v>#N/A</v>
      </c>
    </row>
    <row r="217" spans="1:11" x14ac:dyDescent="0.25">
      <c r="A217" s="6">
        <v>63</v>
      </c>
      <c r="B217" s="7" t="s">
        <v>301</v>
      </c>
      <c r="C217" s="8">
        <v>45324</v>
      </c>
      <c r="D217" s="7">
        <v>2116</v>
      </c>
      <c r="E217" s="9">
        <v>85</v>
      </c>
      <c r="F217" s="10">
        <v>48</v>
      </c>
      <c r="G217" s="10">
        <v>79.8</v>
      </c>
      <c r="H217" s="12">
        <v>56.4</v>
      </c>
      <c r="I217" s="6" t="s">
        <v>67</v>
      </c>
      <c r="J217" s="6" t="s">
        <v>298</v>
      </c>
      <c r="K217" s="11" t="e">
        <f>VLOOKUP(SCADA[[#This Row],[Puits]],Puits!$A$1:$F$267,3,FALSE)</f>
        <v>#N/A</v>
      </c>
    </row>
    <row r="218" spans="1:11" x14ac:dyDescent="0.25">
      <c r="A218" s="6">
        <v>64</v>
      </c>
      <c r="B218" s="7" t="s">
        <v>302</v>
      </c>
      <c r="C218" s="8">
        <v>45324</v>
      </c>
      <c r="D218" s="7">
        <v>2166</v>
      </c>
      <c r="E218" s="9">
        <v>251</v>
      </c>
      <c r="F218" s="10">
        <v>35.229999999999997</v>
      </c>
      <c r="G218" s="10">
        <v>85.98</v>
      </c>
      <c r="H218" s="10">
        <v>52.651903849999997</v>
      </c>
      <c r="I218" s="6" t="s">
        <v>67</v>
      </c>
      <c r="J218" s="6" t="s">
        <v>298</v>
      </c>
      <c r="K218" s="11" t="e">
        <f>VLOOKUP(SCADA[[#This Row],[Puits]],Puits!$A$1:$F$267,3,FALSE)</f>
        <v>#N/A</v>
      </c>
    </row>
    <row r="219" spans="1:11" x14ac:dyDescent="0.25">
      <c r="A219" s="6">
        <v>64</v>
      </c>
      <c r="B219" s="7" t="s">
        <v>302</v>
      </c>
      <c r="C219" s="8">
        <v>45324</v>
      </c>
      <c r="D219" s="7">
        <v>2166</v>
      </c>
      <c r="E219" s="9">
        <v>192</v>
      </c>
      <c r="F219" s="10">
        <v>41.16</v>
      </c>
      <c r="G219" s="10">
        <v>86.74</v>
      </c>
      <c r="H219" s="10">
        <v>56.643210400000001</v>
      </c>
      <c r="I219" s="6" t="s">
        <v>68</v>
      </c>
      <c r="J219" s="6" t="s">
        <v>298</v>
      </c>
      <c r="K219" s="11" t="e">
        <f>VLOOKUP(SCADA[[#This Row],[Puits]],Puits!$A$1:$F$267,3,FALSE)</f>
        <v>#N/A</v>
      </c>
    </row>
    <row r="220" spans="1:11" x14ac:dyDescent="0.25">
      <c r="A220" s="6">
        <v>64</v>
      </c>
      <c r="B220" s="7" t="s">
        <v>302</v>
      </c>
      <c r="C220" s="8">
        <v>45324</v>
      </c>
      <c r="D220" s="7">
        <v>2166</v>
      </c>
      <c r="E220" s="9">
        <v>119</v>
      </c>
      <c r="F220" s="10">
        <v>47.16</v>
      </c>
      <c r="G220" s="10">
        <v>87.78</v>
      </c>
      <c r="H220" s="10">
        <v>62.576233650000006</v>
      </c>
      <c r="I220" s="6" t="s">
        <v>68</v>
      </c>
      <c r="J220" s="6" t="s">
        <v>298</v>
      </c>
      <c r="K220" s="11" t="e">
        <f>VLOOKUP(SCADA[[#This Row],[Puits]],Puits!$A$1:$F$267,3,FALSE)</f>
        <v>#N/A</v>
      </c>
    </row>
    <row r="221" spans="1:11" x14ac:dyDescent="0.25">
      <c r="A221" s="6">
        <v>65</v>
      </c>
      <c r="B221" s="7" t="s">
        <v>228</v>
      </c>
      <c r="C221" s="8">
        <v>45325</v>
      </c>
      <c r="D221" s="7">
        <v>2145</v>
      </c>
      <c r="E221" s="9">
        <v>489</v>
      </c>
      <c r="F221" s="10">
        <v>36.950000000000003</v>
      </c>
      <c r="G221" s="10">
        <v>87.66</v>
      </c>
      <c r="H221" s="10">
        <v>59.555785449999995</v>
      </c>
      <c r="I221" s="6" t="s">
        <v>67</v>
      </c>
      <c r="J221" s="6" t="s">
        <v>298</v>
      </c>
      <c r="K221" s="11" t="str">
        <f>VLOOKUP(SCADA[[#This Row],[Puits]],Puits!$A$1:$F$267,3,FALSE)</f>
        <v>Nord</v>
      </c>
    </row>
    <row r="222" spans="1:11" x14ac:dyDescent="0.25">
      <c r="A222" s="6">
        <v>65</v>
      </c>
      <c r="B222" s="7" t="s">
        <v>228</v>
      </c>
      <c r="C222" s="8">
        <v>45325</v>
      </c>
      <c r="D222" s="7">
        <v>2145</v>
      </c>
      <c r="E222" s="9">
        <v>407</v>
      </c>
      <c r="F222" s="10">
        <v>43.09</v>
      </c>
      <c r="G222" s="10">
        <v>8.49</v>
      </c>
      <c r="H222" s="10">
        <v>62.948886349999995</v>
      </c>
      <c r="I222" s="6" t="s">
        <v>68</v>
      </c>
      <c r="J222" s="6" t="s">
        <v>298</v>
      </c>
      <c r="K222" s="11" t="str">
        <f>VLOOKUP(SCADA[[#This Row],[Puits]],Puits!$A$1:$F$267,3,FALSE)</f>
        <v>Nord</v>
      </c>
    </row>
    <row r="223" spans="1:11" x14ac:dyDescent="0.25">
      <c r="A223" s="6">
        <v>65</v>
      </c>
      <c r="B223" s="7" t="s">
        <v>228</v>
      </c>
      <c r="C223" s="8">
        <v>45325</v>
      </c>
      <c r="D223" s="7">
        <v>2145</v>
      </c>
      <c r="E223" s="9">
        <v>306</v>
      </c>
      <c r="F223" s="10">
        <v>49.09</v>
      </c>
      <c r="G223" s="10">
        <v>89.53</v>
      </c>
      <c r="H223" s="10">
        <v>67.499171950000004</v>
      </c>
      <c r="I223" s="6" t="s">
        <v>68</v>
      </c>
      <c r="J223" s="6" t="s">
        <v>298</v>
      </c>
      <c r="K223" s="11" t="str">
        <f>VLOOKUP(SCADA[[#This Row],[Puits]],Puits!$A$1:$F$267,3,FALSE)</f>
        <v>Nord</v>
      </c>
    </row>
    <row r="224" spans="1:11" x14ac:dyDescent="0.25">
      <c r="A224" s="6">
        <v>66</v>
      </c>
      <c r="B224" s="7" t="s">
        <v>322</v>
      </c>
      <c r="C224" s="8">
        <v>45326</v>
      </c>
      <c r="D224" s="7">
        <v>2112</v>
      </c>
      <c r="E224" s="9">
        <v>1232</v>
      </c>
      <c r="F224" s="10">
        <v>42.88</v>
      </c>
      <c r="G224" s="10">
        <v>79.959999999999994</v>
      </c>
      <c r="H224" s="10">
        <v>61.08562285</v>
      </c>
      <c r="I224" s="6" t="s">
        <v>67</v>
      </c>
      <c r="J224" s="6" t="s">
        <v>298</v>
      </c>
      <c r="K224" s="11" t="str">
        <f>VLOOKUP(SCADA[[#This Row],[Puits]],Puits!$A$1:$F$267,3,FALSE)</f>
        <v>Sud</v>
      </c>
    </row>
    <row r="225" spans="1:11" x14ac:dyDescent="0.25">
      <c r="A225" s="6">
        <v>66</v>
      </c>
      <c r="B225" s="7" t="s">
        <v>322</v>
      </c>
      <c r="C225" s="8">
        <v>45326</v>
      </c>
      <c r="D225" s="7">
        <v>2112</v>
      </c>
      <c r="E225" s="9">
        <v>986</v>
      </c>
      <c r="F225" s="10">
        <v>48.81</v>
      </c>
      <c r="G225" s="10">
        <v>80.55</v>
      </c>
      <c r="H225" s="10">
        <v>63.537285349999998</v>
      </c>
      <c r="I225" s="6" t="s">
        <v>68</v>
      </c>
      <c r="J225" s="6" t="s">
        <v>298</v>
      </c>
      <c r="K225" s="11" t="str">
        <f>VLOOKUP(SCADA[[#This Row],[Puits]],Puits!$A$1:$F$267,3,FALSE)</f>
        <v>Sud</v>
      </c>
    </row>
    <row r="226" spans="1:11" x14ac:dyDescent="0.25">
      <c r="A226" s="6">
        <v>66</v>
      </c>
      <c r="B226" s="7" t="s">
        <v>322</v>
      </c>
      <c r="C226" s="8">
        <v>45326</v>
      </c>
      <c r="D226" s="7">
        <v>2112</v>
      </c>
      <c r="E226" s="9">
        <v>563</v>
      </c>
      <c r="F226" s="10">
        <v>54.88</v>
      </c>
      <c r="G226" s="10">
        <v>81.239999999999995</v>
      </c>
      <c r="H226" s="10">
        <v>66.665606699999998</v>
      </c>
      <c r="I226" s="6" t="s">
        <v>68</v>
      </c>
      <c r="J226" s="6" t="s">
        <v>298</v>
      </c>
      <c r="K226" s="11" t="str">
        <f>VLOOKUP(SCADA[[#This Row],[Puits]],Puits!$A$1:$F$267,3,FALSE)</f>
        <v>Sud</v>
      </c>
    </row>
    <row r="227" spans="1:11" x14ac:dyDescent="0.25">
      <c r="A227" s="6">
        <v>67</v>
      </c>
      <c r="B227" s="7" t="s">
        <v>193</v>
      </c>
      <c r="C227" s="8">
        <v>45327</v>
      </c>
      <c r="D227" s="7">
        <v>2170</v>
      </c>
      <c r="E227" s="9">
        <v>1448</v>
      </c>
      <c r="F227" s="10">
        <v>37.5</v>
      </c>
      <c r="G227" s="10">
        <v>83.1</v>
      </c>
      <c r="H227" s="10">
        <v>59.055646299999999</v>
      </c>
      <c r="I227" s="6" t="s">
        <v>67</v>
      </c>
      <c r="J227" s="6" t="s">
        <v>298</v>
      </c>
      <c r="K227" s="11" t="str">
        <f>VLOOKUP(SCADA[[#This Row],[Puits]],Puits!$A$1:$F$267,3,FALSE)</f>
        <v>Sud</v>
      </c>
    </row>
    <row r="228" spans="1:11" x14ac:dyDescent="0.25">
      <c r="A228" s="6">
        <v>67</v>
      </c>
      <c r="B228" s="7" t="s">
        <v>193</v>
      </c>
      <c r="C228" s="8">
        <v>45327</v>
      </c>
      <c r="D228" s="7">
        <v>2170</v>
      </c>
      <c r="E228" s="9">
        <v>1280</v>
      </c>
      <c r="F228" s="10">
        <v>43.7</v>
      </c>
      <c r="G228" s="10">
        <v>84</v>
      </c>
      <c r="H228" s="10">
        <v>62.193774300000001</v>
      </c>
      <c r="I228" s="6" t="s">
        <v>68</v>
      </c>
      <c r="J228" s="6" t="s">
        <v>298</v>
      </c>
      <c r="K228" s="11" t="str">
        <f>VLOOKUP(SCADA[[#This Row],[Puits]],Puits!$A$1:$F$267,3,FALSE)</f>
        <v>Sud</v>
      </c>
    </row>
    <row r="229" spans="1:11" x14ac:dyDescent="0.25">
      <c r="A229" s="6">
        <v>67</v>
      </c>
      <c r="B229" s="7" t="s">
        <v>193</v>
      </c>
      <c r="C229" s="8">
        <v>45327</v>
      </c>
      <c r="D229" s="7">
        <v>2170</v>
      </c>
      <c r="E229" s="9">
        <v>1056</v>
      </c>
      <c r="F229" s="10">
        <v>50.07</v>
      </c>
      <c r="G229" s="10">
        <v>84.9</v>
      </c>
      <c r="H229" s="10">
        <v>65.469195400000004</v>
      </c>
      <c r="I229" s="6" t="s">
        <v>68</v>
      </c>
      <c r="J229" s="6" t="s">
        <v>298</v>
      </c>
      <c r="K229" s="11" t="str">
        <f>VLOOKUP(SCADA[[#This Row],[Puits]],Puits!$A$1:$F$267,3,FALSE)</f>
        <v>Sud</v>
      </c>
    </row>
    <row r="230" spans="1:11" x14ac:dyDescent="0.25">
      <c r="A230" s="6">
        <v>68</v>
      </c>
      <c r="B230" s="7" t="s">
        <v>154</v>
      </c>
      <c r="C230" s="8">
        <v>45328</v>
      </c>
      <c r="D230" s="7">
        <v>2150</v>
      </c>
      <c r="E230" s="9">
        <v>1437</v>
      </c>
      <c r="F230" s="10">
        <v>40.5</v>
      </c>
      <c r="G230" s="10">
        <v>86.57</v>
      </c>
      <c r="H230" s="10">
        <v>68.695583249999999</v>
      </c>
      <c r="I230" s="6" t="s">
        <v>67</v>
      </c>
      <c r="J230" s="6" t="s">
        <v>298</v>
      </c>
      <c r="K230" s="11" t="str">
        <f>VLOOKUP(SCADA[[#This Row],[Puits]],Puits!$A$1:$F$267,3,FALSE)</f>
        <v>Sud</v>
      </c>
    </row>
    <row r="231" spans="1:11" x14ac:dyDescent="0.25">
      <c r="A231" s="6">
        <v>68</v>
      </c>
      <c r="B231" s="7" t="s">
        <v>154</v>
      </c>
      <c r="C231" s="8">
        <v>45328</v>
      </c>
      <c r="D231" s="7">
        <v>2150</v>
      </c>
      <c r="E231" s="9">
        <v>1289</v>
      </c>
      <c r="F231" s="10">
        <v>42.7</v>
      </c>
      <c r="G231" s="10">
        <v>86.77</v>
      </c>
      <c r="H231" s="10">
        <v>69.450695299999992</v>
      </c>
      <c r="I231" s="6" t="s">
        <v>68</v>
      </c>
      <c r="J231" s="6" t="s">
        <v>298</v>
      </c>
      <c r="K231" s="11" t="str">
        <f>VLOOKUP(SCADA[[#This Row],[Puits]],Puits!$A$1:$F$267,3,FALSE)</f>
        <v>Sud</v>
      </c>
    </row>
    <row r="232" spans="1:11" x14ac:dyDescent="0.25">
      <c r="A232" s="6">
        <v>68</v>
      </c>
      <c r="B232" s="7" t="s">
        <v>154</v>
      </c>
      <c r="C232" s="8">
        <v>45328</v>
      </c>
      <c r="D232" s="7">
        <v>2150</v>
      </c>
      <c r="E232" s="9">
        <v>851</v>
      </c>
      <c r="F232" s="10">
        <v>56</v>
      </c>
      <c r="G232" s="10">
        <v>87.22</v>
      </c>
      <c r="H232" s="10">
        <v>71.098212500000002</v>
      </c>
      <c r="I232" s="6" t="s">
        <v>68</v>
      </c>
      <c r="J232" s="6" t="s">
        <v>298</v>
      </c>
      <c r="K232" s="11" t="str">
        <f>VLOOKUP(SCADA[[#This Row],[Puits]],Puits!$A$1:$F$267,3,FALSE)</f>
        <v>Sud</v>
      </c>
    </row>
    <row r="233" spans="1:11" x14ac:dyDescent="0.25">
      <c r="A233" s="6">
        <v>69</v>
      </c>
      <c r="B233" s="7" t="s">
        <v>196</v>
      </c>
      <c r="C233" s="8">
        <v>45329</v>
      </c>
      <c r="D233" s="7">
        <v>2150</v>
      </c>
      <c r="E233" s="9">
        <v>1470</v>
      </c>
      <c r="F233" s="10">
        <v>38.22</v>
      </c>
      <c r="G233" s="10">
        <v>89.51</v>
      </c>
      <c r="H233" s="10">
        <v>64.606210199999992</v>
      </c>
      <c r="I233" s="6" t="s">
        <v>67</v>
      </c>
      <c r="J233" s="6" t="s">
        <v>298</v>
      </c>
      <c r="K233" s="11" t="str">
        <f>VLOOKUP(SCADA[[#This Row],[Puits]],Puits!$A$1:$F$267,3,FALSE)</f>
        <v>Nord</v>
      </c>
    </row>
    <row r="234" spans="1:11" x14ac:dyDescent="0.25">
      <c r="A234" s="6">
        <v>69</v>
      </c>
      <c r="B234" s="7" t="s">
        <v>196</v>
      </c>
      <c r="C234" s="8">
        <v>45329</v>
      </c>
      <c r="D234" s="7">
        <v>2150</v>
      </c>
      <c r="E234" s="9">
        <v>1156</v>
      </c>
      <c r="F234" s="10">
        <v>50.08</v>
      </c>
      <c r="G234" s="10">
        <v>90.17</v>
      </c>
      <c r="H234" s="10">
        <v>68.195444100000003</v>
      </c>
      <c r="I234" s="6" t="s">
        <v>68</v>
      </c>
      <c r="J234" s="6" t="s">
        <v>298</v>
      </c>
      <c r="K234" s="11" t="str">
        <f>VLOOKUP(SCADA[[#This Row],[Puits]],Puits!$A$1:$F$267,3,FALSE)</f>
        <v>Nord</v>
      </c>
    </row>
    <row r="235" spans="1:11" x14ac:dyDescent="0.25">
      <c r="A235" s="6">
        <v>69</v>
      </c>
      <c r="B235" s="7" t="s">
        <v>196</v>
      </c>
      <c r="C235" s="8">
        <v>45329</v>
      </c>
      <c r="D235" s="7">
        <v>2150</v>
      </c>
      <c r="E235" s="9">
        <v>729</v>
      </c>
      <c r="F235" s="10">
        <v>59.1</v>
      </c>
      <c r="G235" s="10">
        <v>90.82</v>
      </c>
      <c r="H235" s="10">
        <v>72.422110249999989</v>
      </c>
      <c r="I235" s="6" t="s">
        <v>68</v>
      </c>
      <c r="J235" s="6" t="s">
        <v>298</v>
      </c>
      <c r="K235" s="11" t="str">
        <f>VLOOKUP(SCADA[[#This Row],[Puits]],Puits!$A$1:$F$267,3,FALSE)</f>
        <v>Nord</v>
      </c>
    </row>
    <row r="236" spans="1:11" x14ac:dyDescent="0.25">
      <c r="A236" s="6">
        <v>70</v>
      </c>
      <c r="B236" s="7" t="s">
        <v>259</v>
      </c>
      <c r="C236" s="8">
        <v>45329</v>
      </c>
      <c r="D236" s="7">
        <v>2130</v>
      </c>
      <c r="E236" s="9">
        <v>1024</v>
      </c>
      <c r="F236" s="10">
        <v>41.4</v>
      </c>
      <c r="G236" s="10">
        <v>82</v>
      </c>
      <c r="H236" s="10">
        <v>56.015584799999999</v>
      </c>
      <c r="I236" s="6" t="s">
        <v>67</v>
      </c>
      <c r="J236" s="6" t="s">
        <v>298</v>
      </c>
      <c r="K236" s="11" t="str">
        <f>VLOOKUP(SCADA[[#This Row],[Puits]],Puits!$A$1:$F$267,3,FALSE)</f>
        <v>Sud</v>
      </c>
    </row>
    <row r="237" spans="1:11" x14ac:dyDescent="0.25">
      <c r="A237" s="6">
        <v>70</v>
      </c>
      <c r="B237" s="7" t="s">
        <v>259</v>
      </c>
      <c r="C237" s="8">
        <v>45329</v>
      </c>
      <c r="D237" s="7">
        <v>2130</v>
      </c>
      <c r="E237" s="9">
        <v>799</v>
      </c>
      <c r="F237" s="10">
        <v>45.2</v>
      </c>
      <c r="G237" s="10">
        <v>82.4</v>
      </c>
      <c r="H237" s="10">
        <v>58.231887700000001</v>
      </c>
      <c r="I237" s="6" t="s">
        <v>68</v>
      </c>
      <c r="J237" s="6" t="s">
        <v>298</v>
      </c>
      <c r="K237" s="11" t="str">
        <f>VLOOKUP(SCADA[[#This Row],[Puits]],Puits!$A$1:$F$267,3,FALSE)</f>
        <v>Sud</v>
      </c>
    </row>
    <row r="238" spans="1:11" x14ac:dyDescent="0.25">
      <c r="A238" s="6">
        <v>70</v>
      </c>
      <c r="B238" s="7" t="s">
        <v>259</v>
      </c>
      <c r="C238" s="8">
        <v>45329</v>
      </c>
      <c r="D238" s="7">
        <v>2130</v>
      </c>
      <c r="E238" s="9">
        <v>524</v>
      </c>
      <c r="F238" s="10">
        <v>48.2</v>
      </c>
      <c r="G238" s="10">
        <v>82.3</v>
      </c>
      <c r="H238" s="10">
        <v>57.202189449999999</v>
      </c>
      <c r="I238" s="6" t="s">
        <v>68</v>
      </c>
      <c r="J238" s="6" t="s">
        <v>298</v>
      </c>
      <c r="K238" s="11" t="str">
        <f>VLOOKUP(SCADA[[#This Row],[Puits]],Puits!$A$1:$F$267,3,FALSE)</f>
        <v>Sud</v>
      </c>
    </row>
    <row r="239" spans="1:11" x14ac:dyDescent="0.25">
      <c r="A239" s="6">
        <v>71</v>
      </c>
      <c r="B239" s="7" t="s">
        <v>218</v>
      </c>
      <c r="C239" s="8">
        <v>45330</v>
      </c>
      <c r="D239" s="7">
        <v>2200</v>
      </c>
      <c r="E239" s="9">
        <v>1374</v>
      </c>
      <c r="F239" s="10">
        <v>38.11</v>
      </c>
      <c r="G239" s="10">
        <v>84.51</v>
      </c>
      <c r="H239" s="10">
        <v>56.54</v>
      </c>
      <c r="I239" s="6" t="s">
        <v>67</v>
      </c>
      <c r="J239" s="6" t="s">
        <v>298</v>
      </c>
      <c r="K239" s="11" t="str">
        <f>VLOOKUP(SCADA[[#This Row],[Puits]],Puits!$A$1:$F$267,3,FALSE)</f>
        <v>Nord</v>
      </c>
    </row>
    <row r="240" spans="1:11" x14ac:dyDescent="0.25">
      <c r="A240" s="6">
        <v>71</v>
      </c>
      <c r="B240" s="7" t="s">
        <v>218</v>
      </c>
      <c r="C240" s="8">
        <v>45330</v>
      </c>
      <c r="D240" s="7">
        <v>2200</v>
      </c>
      <c r="E240" s="9">
        <v>980</v>
      </c>
      <c r="F240" s="10">
        <v>51.72</v>
      </c>
      <c r="G240" s="10">
        <v>86.95</v>
      </c>
      <c r="H240" s="10">
        <v>66.180000000000007</v>
      </c>
      <c r="I240" s="6" t="s">
        <v>68</v>
      </c>
      <c r="J240" s="6" t="s">
        <v>298</v>
      </c>
      <c r="K240" s="11" t="str">
        <f>VLOOKUP(SCADA[[#This Row],[Puits]],Puits!$A$1:$F$267,3,FALSE)</f>
        <v>Nord</v>
      </c>
    </row>
    <row r="241" spans="1:11" x14ac:dyDescent="0.25">
      <c r="A241" s="6">
        <v>71</v>
      </c>
      <c r="B241" s="7" t="s">
        <v>218</v>
      </c>
      <c r="C241" s="8">
        <v>45330</v>
      </c>
      <c r="D241" s="7">
        <v>2200</v>
      </c>
      <c r="E241" s="9">
        <v>707</v>
      </c>
      <c r="F241" s="10">
        <v>58</v>
      </c>
      <c r="G241" s="10">
        <v>88.09</v>
      </c>
      <c r="H241" s="10">
        <v>71.040000000000006</v>
      </c>
      <c r="I241" s="6" t="s">
        <v>68</v>
      </c>
      <c r="J241" s="6" t="s">
        <v>298</v>
      </c>
      <c r="K241" s="11" t="str">
        <f>VLOOKUP(SCADA[[#This Row],[Puits]],Puits!$A$1:$F$267,3,FALSE)</f>
        <v>Nord</v>
      </c>
    </row>
    <row r="242" spans="1:11" x14ac:dyDescent="0.25">
      <c r="A242" s="6">
        <v>72</v>
      </c>
      <c r="B242" s="7" t="s">
        <v>225</v>
      </c>
      <c r="C242" s="8">
        <v>45334</v>
      </c>
      <c r="D242" s="7">
        <v>2195</v>
      </c>
      <c r="E242" s="9">
        <v>486</v>
      </c>
      <c r="F242" s="10">
        <v>35.200000000000003</v>
      </c>
      <c r="G242" s="10">
        <v>85.8</v>
      </c>
      <c r="H242" s="10">
        <v>53.93</v>
      </c>
      <c r="I242" s="6" t="s">
        <v>67</v>
      </c>
      <c r="J242" s="6" t="s">
        <v>298</v>
      </c>
      <c r="K242" s="11" t="str">
        <f>VLOOKUP(SCADA[[#This Row],[Puits]],Puits!$A$1:$F$267,3,FALSE)</f>
        <v>Nord</v>
      </c>
    </row>
    <row r="243" spans="1:11" x14ac:dyDescent="0.25">
      <c r="A243" s="6">
        <v>72</v>
      </c>
      <c r="B243" s="7" t="s">
        <v>225</v>
      </c>
      <c r="C243" s="8">
        <v>45334</v>
      </c>
      <c r="D243" s="7">
        <v>2195</v>
      </c>
      <c r="E243" s="9">
        <v>378</v>
      </c>
      <c r="F243" s="10">
        <v>45.5</v>
      </c>
      <c r="G243" s="10">
        <v>87.4</v>
      </c>
      <c r="H243" s="10">
        <v>60.09</v>
      </c>
      <c r="I243" s="6" t="s">
        <v>68</v>
      </c>
      <c r="J243" s="6" t="s">
        <v>298</v>
      </c>
      <c r="K243" s="11" t="str">
        <f>VLOOKUP(SCADA[[#This Row],[Puits]],Puits!$A$1:$F$267,3,FALSE)</f>
        <v>Nord</v>
      </c>
    </row>
    <row r="244" spans="1:11" x14ac:dyDescent="0.25">
      <c r="A244" s="6">
        <v>72</v>
      </c>
      <c r="B244" s="7" t="s">
        <v>225</v>
      </c>
      <c r="C244" s="8">
        <v>45334</v>
      </c>
      <c r="D244" s="7">
        <v>2195</v>
      </c>
      <c r="E244" s="9">
        <v>278</v>
      </c>
      <c r="F244" s="10">
        <v>52.4</v>
      </c>
      <c r="G244" s="10">
        <v>88.5</v>
      </c>
      <c r="H244" s="10">
        <v>65.02</v>
      </c>
      <c r="I244" s="6" t="s">
        <v>68</v>
      </c>
      <c r="J244" s="6" t="s">
        <v>298</v>
      </c>
      <c r="K244" s="11" t="str">
        <f>VLOOKUP(SCADA[[#This Row],[Puits]],Puits!$A$1:$F$267,3,FALSE)</f>
        <v>Nord</v>
      </c>
    </row>
    <row r="245" spans="1:11" x14ac:dyDescent="0.25">
      <c r="A245" s="6">
        <v>73</v>
      </c>
      <c r="B245" s="7" t="s">
        <v>263</v>
      </c>
      <c r="C245" s="8">
        <v>45335</v>
      </c>
      <c r="D245" s="7">
        <v>2130</v>
      </c>
      <c r="E245" s="9">
        <v>333</v>
      </c>
      <c r="F245" s="10">
        <v>34.89</v>
      </c>
      <c r="G245" s="10">
        <v>86.82</v>
      </c>
      <c r="H245" s="10">
        <v>57.21</v>
      </c>
      <c r="I245" s="6" t="s">
        <v>67</v>
      </c>
      <c r="J245" s="6" t="s">
        <v>298</v>
      </c>
      <c r="K245" s="11" t="str">
        <f>VLOOKUP(SCADA[[#This Row],[Puits]],Puits!$A$1:$F$267,3,FALSE)</f>
        <v>Nord</v>
      </c>
    </row>
    <row r="246" spans="1:11" x14ac:dyDescent="0.25">
      <c r="A246" s="6">
        <v>73</v>
      </c>
      <c r="B246" s="7" t="s">
        <v>263</v>
      </c>
      <c r="C246" s="8">
        <v>45335</v>
      </c>
      <c r="D246" s="7">
        <v>2130</v>
      </c>
      <c r="E246" s="9">
        <v>278</v>
      </c>
      <c r="F246" s="10">
        <v>44.12</v>
      </c>
      <c r="G246" s="10">
        <v>88.08</v>
      </c>
      <c r="H246" s="10">
        <v>62.21</v>
      </c>
      <c r="I246" s="6" t="s">
        <v>68</v>
      </c>
      <c r="J246" s="6" t="s">
        <v>298</v>
      </c>
      <c r="K246" s="11" t="str">
        <f>VLOOKUP(SCADA[[#This Row],[Puits]],Puits!$A$1:$F$267,3,FALSE)</f>
        <v>Nord</v>
      </c>
    </row>
    <row r="247" spans="1:11" x14ac:dyDescent="0.25">
      <c r="A247" s="6">
        <v>73</v>
      </c>
      <c r="B247" s="7" t="s">
        <v>263</v>
      </c>
      <c r="C247" s="8">
        <v>45335</v>
      </c>
      <c r="D247" s="7">
        <v>2130</v>
      </c>
      <c r="E247" s="9">
        <v>199</v>
      </c>
      <c r="F247" s="10">
        <v>52.69</v>
      </c>
      <c r="G247" s="10">
        <v>89.32</v>
      </c>
      <c r="H247" s="10">
        <v>67.650000000000006</v>
      </c>
      <c r="I247" s="6" t="s">
        <v>68</v>
      </c>
      <c r="J247" s="6" t="s">
        <v>298</v>
      </c>
      <c r="K247" s="11" t="str">
        <f>VLOOKUP(SCADA[[#This Row],[Puits]],Puits!$A$1:$F$267,3,FALSE)</f>
        <v>Nord</v>
      </c>
    </row>
    <row r="248" spans="1:11" x14ac:dyDescent="0.25">
      <c r="A248" s="6">
        <v>74</v>
      </c>
      <c r="B248" s="7" t="s">
        <v>262</v>
      </c>
      <c r="C248" s="8">
        <v>45336</v>
      </c>
      <c r="D248" s="7">
        <v>2150</v>
      </c>
      <c r="E248" s="9">
        <v>998</v>
      </c>
      <c r="F248" s="10">
        <v>41.1</v>
      </c>
      <c r="G248" s="10">
        <v>82.76</v>
      </c>
      <c r="H248" s="10">
        <v>64.900000000000006</v>
      </c>
      <c r="I248" s="6" t="s">
        <v>67</v>
      </c>
      <c r="J248" s="6" t="s">
        <v>298</v>
      </c>
      <c r="K248" s="11" t="str">
        <f>VLOOKUP(SCADA[[#This Row],[Puits]],Puits!$A$1:$F$267,3,FALSE)</f>
        <v>Sud</v>
      </c>
    </row>
    <row r="249" spans="1:11" x14ac:dyDescent="0.25">
      <c r="A249" s="6">
        <v>74</v>
      </c>
      <c r="B249" s="7" t="s">
        <v>262</v>
      </c>
      <c r="C249" s="8">
        <v>45336</v>
      </c>
      <c r="D249" s="7">
        <v>2150</v>
      </c>
      <c r="E249" s="9">
        <v>726</v>
      </c>
      <c r="F249" s="10">
        <v>47.4</v>
      </c>
      <c r="G249" s="10">
        <v>83.07</v>
      </c>
      <c r="H249" s="10">
        <v>66.489999999999995</v>
      </c>
      <c r="I249" s="6" t="s">
        <v>68</v>
      </c>
      <c r="J249" s="6" t="s">
        <v>298</v>
      </c>
      <c r="K249" s="11" t="str">
        <f>VLOOKUP(SCADA[[#This Row],[Puits]],Puits!$A$1:$F$267,3,FALSE)</f>
        <v>Sud</v>
      </c>
    </row>
    <row r="250" spans="1:11" x14ac:dyDescent="0.25">
      <c r="A250" s="6">
        <v>74</v>
      </c>
      <c r="B250" s="7" t="s">
        <v>262</v>
      </c>
      <c r="C250" s="8">
        <v>45336</v>
      </c>
      <c r="D250" s="7">
        <v>2150</v>
      </c>
      <c r="E250" s="9">
        <v>571</v>
      </c>
      <c r="F250" s="10">
        <v>49.6</v>
      </c>
      <c r="G250" s="10">
        <v>83.2</v>
      </c>
      <c r="H250" s="10">
        <v>67.180000000000007</v>
      </c>
      <c r="I250" s="6" t="s">
        <v>68</v>
      </c>
      <c r="J250" s="6" t="s">
        <v>298</v>
      </c>
      <c r="K250" s="11" t="str">
        <f>VLOOKUP(SCADA[[#This Row],[Puits]],Puits!$A$1:$F$267,3,FALSE)</f>
        <v>Sud</v>
      </c>
    </row>
    <row r="251" spans="1:11" x14ac:dyDescent="0.25">
      <c r="A251" s="6">
        <v>75</v>
      </c>
      <c r="B251" s="7" t="s">
        <v>223</v>
      </c>
      <c r="C251" s="8">
        <v>45337</v>
      </c>
      <c r="D251" s="7">
        <v>2225</v>
      </c>
      <c r="E251" s="9">
        <v>733</v>
      </c>
      <c r="F251" s="10">
        <v>36.299999999999997</v>
      </c>
      <c r="G251" s="10">
        <v>85.2</v>
      </c>
      <c r="H251" s="10">
        <v>48.70963055</v>
      </c>
      <c r="I251" s="6" t="s">
        <v>67</v>
      </c>
      <c r="J251" s="6" t="s">
        <v>298</v>
      </c>
      <c r="K251" s="11" t="str">
        <f>VLOOKUP(SCADA[[#This Row],[Puits]],Puits!$A$1:$F$267,3,FALSE)</f>
        <v>Nord</v>
      </c>
    </row>
    <row r="252" spans="1:11" x14ac:dyDescent="0.25">
      <c r="A252" s="6">
        <v>75</v>
      </c>
      <c r="B252" s="7" t="s">
        <v>223</v>
      </c>
      <c r="C252" s="8">
        <v>45337</v>
      </c>
      <c r="D252" s="7">
        <v>2225</v>
      </c>
      <c r="E252" s="9">
        <v>548</v>
      </c>
      <c r="F252" s="10">
        <v>44.5</v>
      </c>
      <c r="G252" s="10">
        <v>86.01</v>
      </c>
      <c r="H252" s="10">
        <v>55.31</v>
      </c>
      <c r="I252" s="6" t="s">
        <v>68</v>
      </c>
      <c r="J252" s="6" t="s">
        <v>298</v>
      </c>
      <c r="K252" s="11" t="str">
        <f>VLOOKUP(SCADA[[#This Row],[Puits]],Puits!$A$1:$F$267,3,FALSE)</f>
        <v>Nord</v>
      </c>
    </row>
    <row r="253" spans="1:11" x14ac:dyDescent="0.25">
      <c r="A253" s="6">
        <v>75</v>
      </c>
      <c r="B253" s="7" t="s">
        <v>223</v>
      </c>
      <c r="C253" s="8">
        <v>45337</v>
      </c>
      <c r="D253" s="7">
        <v>2225</v>
      </c>
      <c r="E253" s="9">
        <v>410</v>
      </c>
      <c r="F253" s="10">
        <v>50.8</v>
      </c>
      <c r="G253" s="10">
        <v>86.68</v>
      </c>
      <c r="H253" s="10">
        <v>60.89</v>
      </c>
      <c r="I253" s="6" t="s">
        <v>68</v>
      </c>
      <c r="J253" s="6" t="s">
        <v>298</v>
      </c>
      <c r="K253" s="11" t="str">
        <f>VLOOKUP(SCADA[[#This Row],[Puits]],Puits!$A$1:$F$267,3,FALSE)</f>
        <v>Nord</v>
      </c>
    </row>
    <row r="254" spans="1:11" x14ac:dyDescent="0.25">
      <c r="A254" s="6">
        <v>76</v>
      </c>
      <c r="B254" s="7" t="s">
        <v>261</v>
      </c>
      <c r="C254" s="8">
        <v>45338</v>
      </c>
      <c r="D254" s="7">
        <v>2130</v>
      </c>
      <c r="E254" s="9">
        <v>892</v>
      </c>
      <c r="F254" s="10">
        <v>40.1</v>
      </c>
      <c r="G254" s="10">
        <v>80.7</v>
      </c>
      <c r="H254" s="10">
        <v>52.66</v>
      </c>
      <c r="I254" s="6" t="s">
        <v>67</v>
      </c>
      <c r="J254" s="6" t="s">
        <v>298</v>
      </c>
      <c r="K254" s="11" t="str">
        <f>VLOOKUP(SCADA[[#This Row],[Puits]],Puits!$A$1:$F$267,3,FALSE)</f>
        <v>Sud</v>
      </c>
    </row>
    <row r="255" spans="1:11" x14ac:dyDescent="0.25">
      <c r="A255" s="6">
        <v>76</v>
      </c>
      <c r="B255" s="7" t="s">
        <v>261</v>
      </c>
      <c r="C255" s="8">
        <v>45338</v>
      </c>
      <c r="D255" s="7">
        <v>2130</v>
      </c>
      <c r="E255" s="9">
        <v>624</v>
      </c>
      <c r="F255" s="10">
        <v>45.9</v>
      </c>
      <c r="G255" s="10">
        <v>81.8</v>
      </c>
      <c r="H255" s="10">
        <v>56.23</v>
      </c>
      <c r="I255" s="6" t="s">
        <v>68</v>
      </c>
      <c r="J255" s="6" t="s">
        <v>298</v>
      </c>
      <c r="K255" s="11" t="str">
        <f>VLOOKUP(SCADA[[#This Row],[Puits]],Puits!$A$1:$F$267,3,FALSE)</f>
        <v>Sud</v>
      </c>
    </row>
    <row r="256" spans="1:11" x14ac:dyDescent="0.25">
      <c r="A256" s="6">
        <v>76</v>
      </c>
      <c r="B256" s="7" t="s">
        <v>261</v>
      </c>
      <c r="C256" s="8">
        <v>45338</v>
      </c>
      <c r="D256" s="7">
        <v>2130</v>
      </c>
      <c r="E256" s="9">
        <v>163</v>
      </c>
      <c r="F256" s="10">
        <v>51.6</v>
      </c>
      <c r="G256" s="10">
        <v>82.5</v>
      </c>
      <c r="H256" s="10">
        <v>60.35</v>
      </c>
      <c r="I256" s="6" t="s">
        <v>68</v>
      </c>
      <c r="J256" s="6" t="s">
        <v>298</v>
      </c>
      <c r="K256" s="11" t="str">
        <f>VLOOKUP(SCADA[[#This Row],[Puits]],Puits!$A$1:$F$267,3,FALSE)</f>
        <v>Sud</v>
      </c>
    </row>
    <row r="257" spans="1:11" x14ac:dyDescent="0.25">
      <c r="A257" s="6">
        <v>77</v>
      </c>
      <c r="B257" s="7" t="s">
        <v>213</v>
      </c>
      <c r="C257" s="8">
        <v>45339</v>
      </c>
      <c r="D257" s="7">
        <v>2025</v>
      </c>
      <c r="E257" s="9">
        <v>1341</v>
      </c>
      <c r="F257" s="10">
        <v>39.17</v>
      </c>
      <c r="G257" s="10">
        <v>82.4</v>
      </c>
      <c r="H257" s="10">
        <v>59.7</v>
      </c>
      <c r="I257" s="6" t="s">
        <v>67</v>
      </c>
      <c r="J257" s="6" t="s">
        <v>297</v>
      </c>
      <c r="K257" s="11" t="str">
        <f>VLOOKUP(SCADA[[#This Row],[Puits]],Puits!$A$1:$F$267,3,FALSE)</f>
        <v>Sud</v>
      </c>
    </row>
    <row r="258" spans="1:11" x14ac:dyDescent="0.25">
      <c r="A258" s="6">
        <v>77</v>
      </c>
      <c r="B258" s="7" t="s">
        <v>213</v>
      </c>
      <c r="C258" s="8">
        <v>45339</v>
      </c>
      <c r="D258" s="7">
        <v>2025</v>
      </c>
      <c r="E258" s="9">
        <v>1184</v>
      </c>
      <c r="F258" s="10">
        <v>44.14</v>
      </c>
      <c r="G258" s="10">
        <v>82.9</v>
      </c>
      <c r="H258" s="10">
        <v>61.62</v>
      </c>
      <c r="I258" s="6" t="s">
        <v>68</v>
      </c>
      <c r="J258" s="6" t="s">
        <v>297</v>
      </c>
      <c r="K258" s="11" t="str">
        <f>VLOOKUP(SCADA[[#This Row],[Puits]],Puits!$A$1:$F$267,3,FALSE)</f>
        <v>Sud</v>
      </c>
    </row>
    <row r="259" spans="1:11" x14ac:dyDescent="0.25">
      <c r="A259" s="6">
        <v>77</v>
      </c>
      <c r="B259" s="7" t="s">
        <v>213</v>
      </c>
      <c r="C259" s="8">
        <v>45339</v>
      </c>
      <c r="D259" s="7">
        <v>2025</v>
      </c>
      <c r="E259" s="9">
        <v>990</v>
      </c>
      <c r="F259" s="10">
        <v>49.24</v>
      </c>
      <c r="G259" s="10">
        <v>83.5</v>
      </c>
      <c r="H259" s="10">
        <v>63.66</v>
      </c>
      <c r="I259" s="6" t="s">
        <v>68</v>
      </c>
      <c r="J259" s="6" t="s">
        <v>297</v>
      </c>
      <c r="K259" s="11" t="str">
        <f>VLOOKUP(SCADA[[#This Row],[Puits]],Puits!$A$1:$F$267,3,FALSE)</f>
        <v>Sud</v>
      </c>
    </row>
    <row r="260" spans="1:11" x14ac:dyDescent="0.25">
      <c r="A260" s="6">
        <v>78</v>
      </c>
      <c r="B260" s="7" t="s">
        <v>84</v>
      </c>
      <c r="C260" s="8">
        <v>45357</v>
      </c>
      <c r="D260" s="7">
        <v>2045</v>
      </c>
      <c r="E260" s="9">
        <v>601</v>
      </c>
      <c r="F260" s="10">
        <v>35.4</v>
      </c>
      <c r="G260" s="10">
        <v>83.8</v>
      </c>
      <c r="H260" s="10">
        <v>44.21</v>
      </c>
      <c r="I260" s="6" t="s">
        <v>67</v>
      </c>
      <c r="J260" s="6" t="s">
        <v>297</v>
      </c>
      <c r="K260" s="11" t="str">
        <f>VLOOKUP(SCADA[[#This Row],[Puits]],Puits!$A$1:$F$267,3,FALSE)</f>
        <v>Centre</v>
      </c>
    </row>
    <row r="261" spans="1:11" x14ac:dyDescent="0.25">
      <c r="A261" s="6">
        <v>78</v>
      </c>
      <c r="B261" s="7" t="s">
        <v>84</v>
      </c>
      <c r="C261" s="8">
        <v>45357</v>
      </c>
      <c r="D261" s="7">
        <v>2045</v>
      </c>
      <c r="E261" s="9">
        <v>537</v>
      </c>
      <c r="F261" s="10">
        <v>40.799999999999997</v>
      </c>
      <c r="G261" s="10">
        <v>85.1</v>
      </c>
      <c r="H261" s="10">
        <v>48.97</v>
      </c>
      <c r="I261" s="6" t="s">
        <v>68</v>
      </c>
      <c r="J261" s="6" t="s">
        <v>297</v>
      </c>
      <c r="K261" s="11" t="str">
        <f>VLOOKUP(SCADA[[#This Row],[Puits]],Puits!$A$1:$F$267,3,FALSE)</f>
        <v>Centre</v>
      </c>
    </row>
    <row r="262" spans="1:11" x14ac:dyDescent="0.25">
      <c r="A262" s="6">
        <v>78</v>
      </c>
      <c r="B262" s="7" t="s">
        <v>84</v>
      </c>
      <c r="C262" s="8">
        <v>45357</v>
      </c>
      <c r="D262" s="7">
        <v>2045</v>
      </c>
      <c r="E262" s="9">
        <v>371</v>
      </c>
      <c r="F262" s="10">
        <v>48.8</v>
      </c>
      <c r="G262" s="10">
        <v>87.4</v>
      </c>
      <c r="H262" s="10">
        <v>57.931034482758619</v>
      </c>
      <c r="I262" s="6" t="s">
        <v>67</v>
      </c>
      <c r="J262" s="6" t="s">
        <v>297</v>
      </c>
      <c r="K262" s="11" t="str">
        <f>VLOOKUP(SCADA[[#This Row],[Puits]],Puits!$A$1:$F$267,3,FALSE)</f>
        <v>Centre</v>
      </c>
    </row>
    <row r="263" spans="1:11" x14ac:dyDescent="0.25">
      <c r="A263" s="9">
        <v>79</v>
      </c>
      <c r="B263" s="7" t="s">
        <v>115</v>
      </c>
      <c r="C263" s="8">
        <v>45496</v>
      </c>
      <c r="D263" s="7">
        <v>2160</v>
      </c>
      <c r="E263" s="9">
        <v>1498</v>
      </c>
      <c r="F263" s="10">
        <v>38.799999999999997</v>
      </c>
      <c r="G263" s="10">
        <v>83.436000000000007</v>
      </c>
      <c r="H263" s="10">
        <v>58.269731271463421</v>
      </c>
      <c r="I263" s="6" t="s">
        <v>67</v>
      </c>
      <c r="J263" s="6" t="s">
        <v>298</v>
      </c>
      <c r="K263" s="11" t="str">
        <f>VLOOKUP(SCADA[[#This Row],[Puits]],Puits!$A$1:$F$267,3,FALSE)</f>
        <v>Sud</v>
      </c>
    </row>
    <row r="264" spans="1:11" x14ac:dyDescent="0.25">
      <c r="A264" s="9">
        <v>79</v>
      </c>
      <c r="B264" s="7" t="s">
        <v>115</v>
      </c>
      <c r="C264" s="8">
        <v>45496</v>
      </c>
      <c r="D264" s="7">
        <v>2160</v>
      </c>
      <c r="E264" s="9">
        <v>1264</v>
      </c>
      <c r="F264" s="10">
        <v>44</v>
      </c>
      <c r="G264" s="10">
        <v>84.09</v>
      </c>
      <c r="H264" s="10">
        <v>60.780663983012467</v>
      </c>
      <c r="I264" s="6" t="s">
        <v>68</v>
      </c>
      <c r="J264" s="6" t="s">
        <v>298</v>
      </c>
      <c r="K264" s="11" t="str">
        <f>VLOOKUP(SCADA[[#This Row],[Puits]],Puits!$A$1:$F$267,3,FALSE)</f>
        <v>Sud</v>
      </c>
    </row>
    <row r="265" spans="1:11" x14ac:dyDescent="0.25">
      <c r="A265" s="9">
        <v>79</v>
      </c>
      <c r="B265" s="7" t="s">
        <v>115</v>
      </c>
      <c r="C265" s="8">
        <v>45496</v>
      </c>
      <c r="D265" s="7">
        <v>2160</v>
      </c>
      <c r="E265" s="9">
        <v>838</v>
      </c>
      <c r="F265" s="10">
        <v>54.2</v>
      </c>
      <c r="G265" s="10">
        <v>85.031000000000006</v>
      </c>
      <c r="H265" s="10">
        <v>64.771004767264785</v>
      </c>
      <c r="I265" s="6" t="s">
        <v>68</v>
      </c>
      <c r="J265" s="6" t="s">
        <v>298</v>
      </c>
      <c r="K265" s="11" t="str">
        <f>VLOOKUP(SCADA[[#This Row],[Puits]],Puits!$A$1:$F$267,3,FALSE)</f>
        <v>Sud</v>
      </c>
    </row>
  </sheetData>
  <phoneticPr fontId="8" type="noConversion"/>
  <pageMargins left="0.7" right="0.7" top="0.75" bottom="0.75" header="0.3" footer="0.3"/>
  <drawing r:id="rId1"/>
  <legacyDrawing r:id="rId2"/>
  <tableParts count="1">
    <tablePart r:id="rId3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50A38-73F4-4B8E-9AAC-6EE447C43114}">
  <sheetPr>
    <tabColor rgb="FF92D050"/>
  </sheetPr>
  <dimension ref="A2:U445"/>
  <sheetViews>
    <sheetView tabSelected="1" zoomScale="110" zoomScaleNormal="110" workbookViewId="0">
      <pane ySplit="28" topLeftCell="A281" activePane="bottomLeft" state="frozen"/>
      <selection pane="bottomLeft" activeCell="J14" sqref="J14"/>
    </sheetView>
  </sheetViews>
  <sheetFormatPr baseColWidth="10" defaultRowHeight="15.75" x14ac:dyDescent="0.25"/>
  <cols>
    <col min="1" max="1" width="11.42578125" style="1"/>
    <col min="2" max="2" width="11.85546875" style="1" bestFit="1" customWidth="1"/>
    <col min="3" max="4" width="18.28515625" style="1" customWidth="1"/>
    <col min="5" max="9" width="15.28515625" style="1" customWidth="1"/>
    <col min="10" max="10" width="13.28515625" style="1" customWidth="1"/>
    <col min="11" max="11" width="12.42578125" style="1" customWidth="1"/>
    <col min="12" max="15" width="11.42578125" style="1"/>
    <col min="16" max="16" width="12.28515625" style="1" customWidth="1"/>
    <col min="17" max="18" width="11.42578125" style="1"/>
    <col min="19" max="19" width="17.85546875" style="1" customWidth="1"/>
    <col min="20" max="16384" width="11.42578125" style="1"/>
  </cols>
  <sheetData>
    <row r="2" spans="15:21" x14ac:dyDescent="0.25">
      <c r="O2" s="6"/>
      <c r="P2" s="53"/>
      <c r="Q2" s="6"/>
      <c r="R2" s="6"/>
      <c r="S2" s="6"/>
      <c r="T2" s="6"/>
      <c r="U2" s="6"/>
    </row>
    <row r="3" spans="15:21" x14ac:dyDescent="0.25">
      <c r="O3" s="55"/>
      <c r="P3" s="56"/>
      <c r="Q3" s="57"/>
      <c r="R3" s="57"/>
      <c r="S3" s="58"/>
      <c r="T3" s="59"/>
      <c r="U3" s="6"/>
    </row>
    <row r="4" spans="15:21" x14ac:dyDescent="0.25">
      <c r="O4" s="55"/>
      <c r="P4" s="56"/>
      <c r="Q4" s="57"/>
      <c r="R4" s="57"/>
      <c r="S4" s="58"/>
      <c r="T4" s="59"/>
      <c r="U4" s="6"/>
    </row>
    <row r="5" spans="15:21" x14ac:dyDescent="0.25">
      <c r="O5" s="55"/>
      <c r="P5" s="56"/>
      <c r="Q5" s="57"/>
      <c r="R5" s="57"/>
      <c r="S5" s="58"/>
      <c r="T5" s="59"/>
      <c r="U5" s="6"/>
    </row>
    <row r="6" spans="15:21" x14ac:dyDescent="0.25">
      <c r="O6" s="6"/>
      <c r="P6" s="6"/>
      <c r="Q6" s="6"/>
      <c r="R6" s="6"/>
      <c r="S6" s="6"/>
      <c r="T6" s="6"/>
      <c r="U6" s="6"/>
    </row>
    <row r="7" spans="15:21" x14ac:dyDescent="0.25">
      <c r="O7" s="6"/>
      <c r="P7" s="6"/>
      <c r="Q7" s="6"/>
      <c r="R7" s="6"/>
      <c r="S7" s="6"/>
      <c r="T7" s="6"/>
      <c r="U7" s="6"/>
    </row>
    <row r="8" spans="15:21" x14ac:dyDescent="0.25">
      <c r="O8" s="6"/>
      <c r="P8" s="54"/>
      <c r="Q8" s="6"/>
      <c r="R8" s="6"/>
      <c r="S8" s="6"/>
      <c r="T8" s="6"/>
      <c r="U8" s="6"/>
    </row>
    <row r="9" spans="15:21" x14ac:dyDescent="0.25">
      <c r="O9" s="11"/>
      <c r="P9" s="6"/>
      <c r="Q9" s="6"/>
      <c r="R9" s="6"/>
      <c r="S9" s="6"/>
      <c r="T9" s="6"/>
      <c r="U9" s="6"/>
    </row>
    <row r="10" spans="15:21" x14ac:dyDescent="0.25">
      <c r="O10" s="11"/>
      <c r="P10" s="6"/>
      <c r="Q10" s="6"/>
      <c r="R10" s="6"/>
      <c r="S10" s="6"/>
      <c r="T10" s="6"/>
      <c r="U10" s="6"/>
    </row>
    <row r="11" spans="15:21" x14ac:dyDescent="0.25">
      <c r="O11" s="11"/>
      <c r="P11" s="6"/>
      <c r="Q11" s="6"/>
      <c r="R11" s="6"/>
      <c r="S11" s="6"/>
      <c r="T11" s="6"/>
      <c r="U11" s="6"/>
    </row>
    <row r="28" spans="1:19" ht="24.75" customHeight="1" x14ac:dyDescent="0.25">
      <c r="A28" s="4" t="s">
        <v>65</v>
      </c>
      <c r="B28" s="4" t="s">
        <v>0</v>
      </c>
      <c r="C28" s="4" t="s">
        <v>1</v>
      </c>
      <c r="D28" s="4" t="s">
        <v>2</v>
      </c>
      <c r="E28" s="4" t="s">
        <v>3</v>
      </c>
      <c r="F28" s="4" t="s">
        <v>306</v>
      </c>
      <c r="G28" s="4" t="s">
        <v>305</v>
      </c>
      <c r="H28" s="4" t="s">
        <v>4</v>
      </c>
      <c r="I28" s="4" t="s">
        <v>328</v>
      </c>
      <c r="J28" s="4" t="s">
        <v>5</v>
      </c>
      <c r="K28" s="4" t="s">
        <v>6</v>
      </c>
      <c r="L28" s="5" t="s">
        <v>66</v>
      </c>
      <c r="M28" s="5" t="s">
        <v>296</v>
      </c>
      <c r="N28" s="5" t="s">
        <v>69</v>
      </c>
      <c r="O28" s="5" t="s">
        <v>308</v>
      </c>
      <c r="P28" s="5" t="s">
        <v>309</v>
      </c>
      <c r="Q28" s="4" t="s">
        <v>326</v>
      </c>
      <c r="R28" s="4" t="s">
        <v>325</v>
      </c>
      <c r="S28" s="4" t="s">
        <v>315</v>
      </c>
    </row>
    <row r="29" spans="1:19" x14ac:dyDescent="0.25">
      <c r="A29" s="6">
        <v>1</v>
      </c>
      <c r="B29" s="7" t="s">
        <v>241</v>
      </c>
      <c r="C29" s="8">
        <v>45265</v>
      </c>
      <c r="D29" s="7">
        <v>2045</v>
      </c>
      <c r="E29" s="42">
        <v>153.22900000000001</v>
      </c>
      <c r="F29" s="10">
        <v>3.3</v>
      </c>
      <c r="G29" s="10">
        <v>0</v>
      </c>
      <c r="H29" s="10">
        <v>42.402757361817287</v>
      </c>
      <c r="I29" s="10">
        <v>43.333333333333336</v>
      </c>
      <c r="J29" s="10">
        <v>84</v>
      </c>
      <c r="K29" s="10">
        <v>50.997761805271175</v>
      </c>
      <c r="L29" s="6" t="s">
        <v>68</v>
      </c>
      <c r="M29" s="6" t="s">
        <v>297</v>
      </c>
      <c r="N29" s="11" t="str">
        <f>VLOOKUP(Séparateur[[#This Row],[Puits]],Puits!$A$1:$F$267,3,FALSE)</f>
        <v>Centre</v>
      </c>
      <c r="O29" s="34">
        <f>(Séparateur[[#This Row],[Qw (sm3/j)]]/(Séparateur[[#This Row],[Qg (Msm3/j)]]*1000))*1000000</f>
        <v>0</v>
      </c>
      <c r="P29" s="34">
        <f>(Séparateur[[#This Row],[Qc (sm3/j)]]/(Séparateur[[#This Row],[Qg (Msm3/j)]]*1000))*1000000</f>
        <v>21.536393241488231</v>
      </c>
      <c r="Q29" s="46">
        <v>0.73</v>
      </c>
      <c r="R29" s="46">
        <v>0.66700000000000004</v>
      </c>
      <c r="S29" s="34">
        <v>0</v>
      </c>
    </row>
    <row r="30" spans="1:19" x14ac:dyDescent="0.25">
      <c r="A30" s="6">
        <v>1</v>
      </c>
      <c r="B30" s="7" t="s">
        <v>241</v>
      </c>
      <c r="C30" s="8">
        <v>45265</v>
      </c>
      <c r="D30" s="7">
        <v>2045</v>
      </c>
      <c r="E30" s="42">
        <v>121.205</v>
      </c>
      <c r="F30" s="10">
        <v>1.6</v>
      </c>
      <c r="G30" s="10">
        <v>0</v>
      </c>
      <c r="H30" s="10">
        <v>48.883829218745461</v>
      </c>
      <c r="I30" s="10">
        <v>47.777777777777779</v>
      </c>
      <c r="J30" s="10">
        <v>85.6</v>
      </c>
      <c r="K30" s="10">
        <v>58.275178129726164</v>
      </c>
      <c r="L30" s="6" t="s">
        <v>68</v>
      </c>
      <c r="M30" s="6" t="s">
        <v>297</v>
      </c>
      <c r="N30" s="11" t="str">
        <f>VLOOKUP(Séparateur[[#This Row],[Puits]],Puits!$A$1:$F$267,3,FALSE)</f>
        <v>Centre</v>
      </c>
      <c r="O30" s="34">
        <f>(Séparateur[[#This Row],[Qw (sm3/j)]]/(Séparateur[[#This Row],[Qg (Msm3/j)]]*1000))*1000000</f>
        <v>0</v>
      </c>
      <c r="P30" s="34">
        <f>(Séparateur[[#This Row],[Qc (sm3/j)]]/(Séparateur[[#This Row],[Qg (Msm3/j)]]*1000))*1000000</f>
        <v>13.200775545563301</v>
      </c>
      <c r="Q30" s="46">
        <v>0.74</v>
      </c>
      <c r="R30" s="46">
        <v>0.66700000000000004</v>
      </c>
      <c r="S30" s="34">
        <v>0</v>
      </c>
    </row>
    <row r="31" spans="1:19" x14ac:dyDescent="0.25">
      <c r="A31" s="6">
        <v>1</v>
      </c>
      <c r="B31" s="7" t="s">
        <v>241</v>
      </c>
      <c r="C31" s="8">
        <v>45265</v>
      </c>
      <c r="D31" s="7">
        <v>2045</v>
      </c>
      <c r="E31" s="42">
        <v>75.075999999999993</v>
      </c>
      <c r="F31" s="10">
        <v>1.1000000000000001</v>
      </c>
      <c r="G31" s="10">
        <v>0</v>
      </c>
      <c r="H31" s="10">
        <v>53.985949616752741</v>
      </c>
      <c r="I31" s="10">
        <v>46.666666666666671</v>
      </c>
      <c r="J31" s="10">
        <v>85.1</v>
      </c>
      <c r="K31" s="10">
        <v>63.880615810239568</v>
      </c>
      <c r="L31" s="6" t="s">
        <v>67</v>
      </c>
      <c r="M31" s="6" t="s">
        <v>297</v>
      </c>
      <c r="N31" s="11" t="str">
        <f>VLOOKUP(Séparateur[[#This Row],[Puits]],Puits!$A$1:$F$267,3,FALSE)</f>
        <v>Centre</v>
      </c>
      <c r="O31" s="34">
        <f>(Séparateur[[#This Row],[Qw (sm3/j)]]/(Séparateur[[#This Row],[Qg (Msm3/j)]]*1000))*1000000</f>
        <v>0</v>
      </c>
      <c r="P31" s="34">
        <f>(Séparateur[[#This Row],[Qc (sm3/j)]]/(Séparateur[[#This Row],[Qg (Msm3/j)]]*1000))*1000000</f>
        <v>14.65181948958389</v>
      </c>
      <c r="Q31" s="46">
        <v>0.72</v>
      </c>
      <c r="R31" s="46">
        <v>0.66700000000000004</v>
      </c>
      <c r="S31" s="34">
        <v>0</v>
      </c>
    </row>
    <row r="32" spans="1:19" x14ac:dyDescent="0.25">
      <c r="A32" s="6">
        <v>2</v>
      </c>
      <c r="B32" s="7" t="s">
        <v>91</v>
      </c>
      <c r="C32" s="8">
        <v>45271</v>
      </c>
      <c r="D32" s="7">
        <v>2000</v>
      </c>
      <c r="E32" s="42">
        <v>237.636</v>
      </c>
      <c r="F32" s="10">
        <v>2.67</v>
      </c>
      <c r="G32" s="10">
        <v>46.08</v>
      </c>
      <c r="H32" s="10">
        <v>37.24</v>
      </c>
      <c r="I32" s="10"/>
      <c r="J32" s="10">
        <v>78.2</v>
      </c>
      <c r="K32" s="10">
        <v>60.378079104580522</v>
      </c>
      <c r="L32" s="6" t="s">
        <v>67</v>
      </c>
      <c r="M32" s="6" t="s">
        <v>298</v>
      </c>
      <c r="N32" s="11" t="str">
        <f>VLOOKUP(Séparateur[[#This Row],[Puits]],Puits!$A$1:$F$267,3,FALSE)</f>
        <v>Sud</v>
      </c>
      <c r="O32" s="34">
        <f>(Séparateur[[#This Row],[Qw (sm3/j)]]/(Séparateur[[#This Row],[Qg (Msm3/j)]]*1000))*1000000</f>
        <v>193.91001363429783</v>
      </c>
      <c r="P32" s="34">
        <f>(Séparateur[[#This Row],[Qc (sm3/j)]]/(Séparateur[[#This Row],[Qg (Msm3/j)]]*1000))*1000000</f>
        <v>11.235671362924808</v>
      </c>
      <c r="Q32" s="46">
        <v>0.72699999999999998</v>
      </c>
      <c r="R32" s="46">
        <v>0.67</v>
      </c>
      <c r="S32" s="34">
        <v>356</v>
      </c>
    </row>
    <row r="33" spans="1:19" x14ac:dyDescent="0.25">
      <c r="A33" s="6">
        <v>2</v>
      </c>
      <c r="B33" s="7" t="s">
        <v>91</v>
      </c>
      <c r="C33" s="8">
        <v>45271</v>
      </c>
      <c r="D33" s="7">
        <v>2000</v>
      </c>
      <c r="E33" s="42">
        <v>200.03</v>
      </c>
      <c r="F33" s="10">
        <v>2.23</v>
      </c>
      <c r="G33" s="10">
        <v>40.799999999999997</v>
      </c>
      <c r="H33" s="10">
        <v>41.4</v>
      </c>
      <c r="I33" s="10"/>
      <c r="J33" s="10">
        <v>78.599999999999994</v>
      </c>
      <c r="K33" s="10">
        <v>62.532001283414942</v>
      </c>
      <c r="L33" s="6" t="s">
        <v>68</v>
      </c>
      <c r="M33" s="6" t="s">
        <v>298</v>
      </c>
      <c r="N33" s="11" t="str">
        <f>VLOOKUP(Séparateur[[#This Row],[Puits]],Puits!$A$1:$F$267,3,FALSE)</f>
        <v>Sud</v>
      </c>
      <c r="O33" s="34">
        <f>(Séparateur[[#This Row],[Qw (sm3/j)]]/(Séparateur[[#This Row],[Qg (Msm3/j)]]*1000))*1000000</f>
        <v>203.96940458931161</v>
      </c>
      <c r="P33" s="34">
        <f>(Séparateur[[#This Row],[Qc (sm3/j)]]/(Séparateur[[#This Row],[Qg (Msm3/j)]]*1000))*1000000</f>
        <v>11.148327750837375</v>
      </c>
      <c r="Q33" s="46">
        <v>0.72899999999999998</v>
      </c>
      <c r="R33" s="46">
        <v>0.67</v>
      </c>
      <c r="S33" s="34">
        <v>351</v>
      </c>
    </row>
    <row r="34" spans="1:19" x14ac:dyDescent="0.25">
      <c r="A34" s="6">
        <v>2</v>
      </c>
      <c r="B34" s="7" t="s">
        <v>91</v>
      </c>
      <c r="C34" s="8">
        <v>45271</v>
      </c>
      <c r="D34" s="7">
        <v>2000</v>
      </c>
      <c r="E34" s="42">
        <v>106.163</v>
      </c>
      <c r="F34" s="10">
        <v>1.1299999999999999</v>
      </c>
      <c r="G34" s="10">
        <v>4.8</v>
      </c>
      <c r="H34" s="10">
        <v>46.9</v>
      </c>
      <c r="I34" s="10"/>
      <c r="J34" s="10">
        <v>78.8</v>
      </c>
      <c r="K34" s="10">
        <v>66.152438338811734</v>
      </c>
      <c r="L34" s="6" t="s">
        <v>68</v>
      </c>
      <c r="M34" s="6" t="s">
        <v>298</v>
      </c>
      <c r="N34" s="11" t="str">
        <f>VLOOKUP(Séparateur[[#This Row],[Puits]],Puits!$A$1:$F$267,3,FALSE)</f>
        <v>Sud</v>
      </c>
      <c r="O34" s="34">
        <f>(Séparateur[[#This Row],[Qw (sm3/j)]]/(Séparateur[[#This Row],[Qg (Msm3/j)]]*1000))*1000000</f>
        <v>45.213492459708178</v>
      </c>
      <c r="P34" s="34">
        <f>(Séparateur[[#This Row],[Qc (sm3/j)]]/(Séparateur[[#This Row],[Qg (Msm3/j)]]*1000))*1000000</f>
        <v>10.644009683222967</v>
      </c>
      <c r="Q34" s="46">
        <v>0.72599999999999998</v>
      </c>
      <c r="R34" s="46">
        <v>0.67</v>
      </c>
      <c r="S34" s="34">
        <v>353</v>
      </c>
    </row>
    <row r="35" spans="1:19" x14ac:dyDescent="0.25">
      <c r="A35" s="6">
        <v>3</v>
      </c>
      <c r="B35" s="7" t="s">
        <v>140</v>
      </c>
      <c r="C35" s="8">
        <v>45317</v>
      </c>
      <c r="D35" s="7">
        <v>2030</v>
      </c>
      <c r="E35" s="42">
        <v>411.41300000000001</v>
      </c>
      <c r="F35" s="10">
        <v>4.3600000000000003</v>
      </c>
      <c r="G35" s="10">
        <v>0</v>
      </c>
      <c r="H35" s="10">
        <v>37.093794244971875</v>
      </c>
      <c r="I35" s="10">
        <v>62.777777777777779</v>
      </c>
      <c r="J35" s="10">
        <v>83.2</v>
      </c>
      <c r="K35" s="10">
        <v>45.941836281137746</v>
      </c>
      <c r="L35" s="6" t="s">
        <v>67</v>
      </c>
      <c r="M35" s="6" t="s">
        <v>298</v>
      </c>
      <c r="N35" s="11" t="str">
        <f>VLOOKUP(Séparateur[[#This Row],[Puits]],Puits!$A$1:$F$267,3,FALSE)</f>
        <v>Centre</v>
      </c>
      <c r="O35" s="34">
        <f>(Séparateur[[#This Row],[Qw (sm3/j)]]/(Séparateur[[#This Row],[Qg (Msm3/j)]]*1000))*1000000</f>
        <v>0</v>
      </c>
      <c r="P35" s="34">
        <f>(Séparateur[[#This Row],[Qc (sm3/j)]]/(Séparateur[[#This Row],[Qg (Msm3/j)]]*1000))*1000000</f>
        <v>10.597623312826771</v>
      </c>
      <c r="Q35" s="46">
        <v>0.745</v>
      </c>
      <c r="R35" s="46">
        <v>0.67</v>
      </c>
      <c r="S35" s="34" t="s">
        <v>343</v>
      </c>
    </row>
    <row r="36" spans="1:19" x14ac:dyDescent="0.25">
      <c r="A36" s="6">
        <v>3</v>
      </c>
      <c r="B36" s="7" t="s">
        <v>140</v>
      </c>
      <c r="C36" s="8">
        <v>45318</v>
      </c>
      <c r="D36" s="7">
        <v>2030</v>
      </c>
      <c r="E36" s="42">
        <v>307.69400000000002</v>
      </c>
      <c r="F36" s="10">
        <v>3.63</v>
      </c>
      <c r="G36" s="10">
        <v>0</v>
      </c>
      <c r="H36" s="10">
        <v>46.677506884472038</v>
      </c>
      <c r="I36" s="10">
        <v>55</v>
      </c>
      <c r="J36" s="10">
        <v>86</v>
      </c>
      <c r="K36" s="10">
        <v>55.802718163881011</v>
      </c>
      <c r="L36" s="6" t="s">
        <v>67</v>
      </c>
      <c r="M36" s="6" t="s">
        <v>298</v>
      </c>
      <c r="N36" s="11" t="str">
        <f>VLOOKUP(Séparateur[[#This Row],[Puits]],Puits!$A$1:$F$267,3,FALSE)</f>
        <v>Centre</v>
      </c>
      <c r="O36" s="34">
        <f>(Séparateur[[#This Row],[Qw (sm3/j)]]/(Séparateur[[#This Row],[Qg (Msm3/j)]]*1000))*1000000</f>
        <v>0</v>
      </c>
      <c r="P36" s="34">
        <f>(Séparateur[[#This Row],[Qc (sm3/j)]]/(Séparateur[[#This Row],[Qg (Msm3/j)]]*1000))*1000000</f>
        <v>11.797435114106872</v>
      </c>
      <c r="Q36" s="46">
        <v>0.73399999999999999</v>
      </c>
      <c r="R36" s="46">
        <v>0.67</v>
      </c>
      <c r="S36" s="34">
        <v>49.72</v>
      </c>
    </row>
    <row r="37" spans="1:19" x14ac:dyDescent="0.25">
      <c r="A37" s="6">
        <v>3</v>
      </c>
      <c r="B37" s="7" t="s">
        <v>140</v>
      </c>
      <c r="C37" s="8">
        <v>45318</v>
      </c>
      <c r="D37" s="7">
        <v>2030</v>
      </c>
      <c r="E37" s="42">
        <v>204.89</v>
      </c>
      <c r="F37" s="10">
        <v>2.78</v>
      </c>
      <c r="G37" s="10">
        <v>0</v>
      </c>
      <c r="H37" s="10">
        <v>51.710679709533281</v>
      </c>
      <c r="I37" s="10">
        <v>57.777777777777779</v>
      </c>
      <c r="J37" s="10">
        <v>87.2</v>
      </c>
      <c r="K37" s="10">
        <v>61.051007416533913</v>
      </c>
      <c r="L37" s="6" t="s">
        <v>67</v>
      </c>
      <c r="M37" s="6" t="s">
        <v>298</v>
      </c>
      <c r="N37" s="11" t="str">
        <f>VLOOKUP(Séparateur[[#This Row],[Puits]],Puits!$A$1:$F$267,3,FALSE)</f>
        <v>Centre</v>
      </c>
      <c r="O37" s="34">
        <f>(Séparateur[[#This Row],[Qw (sm3/j)]]/(Séparateur[[#This Row],[Qg (Msm3/j)]]*1000))*1000000</f>
        <v>0</v>
      </c>
      <c r="P37" s="34">
        <f>(Séparateur[[#This Row],[Qc (sm3/j)]]/(Séparateur[[#This Row],[Qg (Msm3/j)]]*1000))*1000000</f>
        <v>13.568256137439601</v>
      </c>
      <c r="Q37" s="46">
        <v>0.73499999999999999</v>
      </c>
      <c r="R37" s="46">
        <v>0.67</v>
      </c>
      <c r="S37" s="34" t="s">
        <v>343</v>
      </c>
    </row>
    <row r="38" spans="1:19" x14ac:dyDescent="0.25">
      <c r="A38" s="6">
        <v>4</v>
      </c>
      <c r="B38" s="7" t="s">
        <v>132</v>
      </c>
      <c r="C38" s="8">
        <v>45320</v>
      </c>
      <c r="D38" s="7">
        <v>1915</v>
      </c>
      <c r="E38" s="42">
        <v>921.48400000000004</v>
      </c>
      <c r="F38" s="10">
        <v>5.37</v>
      </c>
      <c r="G38" s="10">
        <v>0.96</v>
      </c>
      <c r="H38" s="10">
        <v>45.988031155011598</v>
      </c>
      <c r="I38" s="10">
        <v>63.333333333333336</v>
      </c>
      <c r="J38" s="10">
        <v>87.3</v>
      </c>
      <c r="K38" s="10">
        <v>58.447547062091274</v>
      </c>
      <c r="L38" s="6" t="s">
        <v>67</v>
      </c>
      <c r="M38" s="6" t="s">
        <v>297</v>
      </c>
      <c r="N38" s="11" t="str">
        <f>VLOOKUP(Séparateur[[#This Row],[Puits]],Puits!$A$1:$F$267,3,FALSE)</f>
        <v>Centre</v>
      </c>
      <c r="O38" s="34">
        <f>(Séparateur[[#This Row],[Qw (sm3/j)]]/(Séparateur[[#This Row],[Qg (Msm3/j)]]*1000))*1000000</f>
        <v>1.0417977957294973</v>
      </c>
      <c r="P38" s="34">
        <f>(Séparateur[[#This Row],[Qc (sm3/j)]]/(Séparateur[[#This Row],[Qg (Msm3/j)]]*1000))*1000000</f>
        <v>5.8275564198618746</v>
      </c>
      <c r="Q38" s="46">
        <v>0.745</v>
      </c>
      <c r="R38" s="46">
        <v>0.67</v>
      </c>
      <c r="S38" s="34">
        <v>6.0839999999999996</v>
      </c>
    </row>
    <row r="39" spans="1:19" x14ac:dyDescent="0.25">
      <c r="A39" s="6">
        <v>4</v>
      </c>
      <c r="B39" s="7" t="s">
        <v>132</v>
      </c>
      <c r="C39" s="8">
        <v>45321</v>
      </c>
      <c r="D39" s="7">
        <v>1915</v>
      </c>
      <c r="E39" s="42">
        <v>702.48500000000001</v>
      </c>
      <c r="F39" s="10">
        <v>4.3099999999999996</v>
      </c>
      <c r="G39" s="10">
        <v>0</v>
      </c>
      <c r="H39" s="10">
        <v>49.986990385882166</v>
      </c>
      <c r="I39" s="10">
        <v>60</v>
      </c>
      <c r="J39" s="10">
        <v>88</v>
      </c>
      <c r="K39" s="10">
        <v>61.117886562291574</v>
      </c>
      <c r="L39" s="6" t="s">
        <v>67</v>
      </c>
      <c r="M39" s="6" t="s">
        <v>297</v>
      </c>
      <c r="N39" s="11" t="str">
        <f>VLOOKUP(Séparateur[[#This Row],[Puits]],Puits!$A$1:$F$267,3,FALSE)</f>
        <v>Centre</v>
      </c>
      <c r="O39" s="34">
        <f>(Séparateur[[#This Row],[Qw (sm3/j)]]/(Séparateur[[#This Row],[Qg (Msm3/j)]]*1000))*1000000</f>
        <v>0</v>
      </c>
      <c r="P39" s="34">
        <f>(Séparateur[[#This Row],[Qc (sm3/j)]]/(Séparateur[[#This Row],[Qg (Msm3/j)]]*1000))*1000000</f>
        <v>6.1353623209036492</v>
      </c>
      <c r="Q39" s="46">
        <v>0.745</v>
      </c>
      <c r="R39" s="46">
        <v>0.67</v>
      </c>
      <c r="S39" s="34">
        <v>0</v>
      </c>
    </row>
    <row r="40" spans="1:19" x14ac:dyDescent="0.25">
      <c r="A40" s="6">
        <v>4</v>
      </c>
      <c r="B40" s="7" t="s">
        <v>132</v>
      </c>
      <c r="C40" s="8">
        <v>45321</v>
      </c>
      <c r="D40" s="7">
        <v>1915</v>
      </c>
      <c r="E40" s="42">
        <v>477.25799999999998</v>
      </c>
      <c r="F40" s="10">
        <v>3.22</v>
      </c>
      <c r="G40" s="10">
        <v>0</v>
      </c>
      <c r="H40" s="10">
        <v>53.572264179076477</v>
      </c>
      <c r="I40" s="10">
        <v>62.777777777777779</v>
      </c>
      <c r="J40" s="10">
        <v>88.4</v>
      </c>
      <c r="K40" s="10">
        <v>63.255261323618953</v>
      </c>
      <c r="L40" s="6" t="s">
        <v>67</v>
      </c>
      <c r="M40" s="6" t="s">
        <v>297</v>
      </c>
      <c r="N40" s="11" t="str">
        <f>VLOOKUP(Séparateur[[#This Row],[Puits]],Puits!$A$1:$F$267,3,FALSE)</f>
        <v>Centre</v>
      </c>
      <c r="O40" s="34">
        <f>(Séparateur[[#This Row],[Qw (sm3/j)]]/(Séparateur[[#This Row],[Qg (Msm3/j)]]*1000))*1000000</f>
        <v>0</v>
      </c>
      <c r="P40" s="34">
        <f>(Séparateur[[#This Row],[Qc (sm3/j)]]/(Séparateur[[#This Row],[Qg (Msm3/j)]]*1000))*1000000</f>
        <v>6.7468748559479366</v>
      </c>
      <c r="Q40" s="46">
        <v>0.74199999999999999</v>
      </c>
      <c r="R40" s="46">
        <v>0.67</v>
      </c>
      <c r="S40" s="34">
        <v>0</v>
      </c>
    </row>
    <row r="41" spans="1:19" x14ac:dyDescent="0.25">
      <c r="A41" s="6">
        <v>5</v>
      </c>
      <c r="B41" s="7" t="s">
        <v>216</v>
      </c>
      <c r="C41" s="8">
        <v>45322</v>
      </c>
      <c r="D41" s="7">
        <v>2173</v>
      </c>
      <c r="E41" s="42">
        <v>350.14499999999998</v>
      </c>
      <c r="F41" s="10">
        <v>5.38</v>
      </c>
      <c r="G41" s="10">
        <v>0</v>
      </c>
      <c r="H41" s="10">
        <v>38.610640849784851</v>
      </c>
      <c r="I41" s="10">
        <v>60</v>
      </c>
      <c r="J41" s="10">
        <v>87.1</v>
      </c>
      <c r="K41" s="10">
        <v>56.09</v>
      </c>
      <c r="L41" s="6" t="s">
        <v>67</v>
      </c>
      <c r="M41" s="6" t="s">
        <v>298</v>
      </c>
      <c r="N41" s="11" t="str">
        <f>VLOOKUP(Séparateur[[#This Row],[Puits]],Puits!$A$1:$F$267,3,FALSE)</f>
        <v>Nord</v>
      </c>
      <c r="O41" s="34">
        <f>(Séparateur[[#This Row],[Qw (sm3/j)]]/(Séparateur[[#This Row],[Qg (Msm3/j)]]*1000))*1000000</f>
        <v>0</v>
      </c>
      <c r="P41" s="34">
        <f>(Séparateur[[#This Row],[Qc (sm3/j)]]/(Séparateur[[#This Row],[Qg (Msm3/j)]]*1000))*1000000</f>
        <v>15.3650630453098</v>
      </c>
      <c r="Q41" s="46">
        <v>0.73299999999999998</v>
      </c>
      <c r="R41" s="46">
        <v>0.67</v>
      </c>
      <c r="S41" s="34">
        <v>0</v>
      </c>
    </row>
    <row r="42" spans="1:19" x14ac:dyDescent="0.25">
      <c r="A42" s="6">
        <v>5</v>
      </c>
      <c r="B42" s="7" t="s">
        <v>216</v>
      </c>
      <c r="C42" s="8">
        <v>45323</v>
      </c>
      <c r="D42" s="7">
        <v>2173</v>
      </c>
      <c r="E42" s="42">
        <v>235.357</v>
      </c>
      <c r="F42" s="10">
        <v>4.3099999999999996</v>
      </c>
      <c r="G42" s="10">
        <v>0</v>
      </c>
      <c r="H42" s="10">
        <v>44.815922414928842</v>
      </c>
      <c r="I42" s="10">
        <v>62.222222222222229</v>
      </c>
      <c r="J42" s="10">
        <v>88.3</v>
      </c>
      <c r="K42" s="10">
        <v>58.35</v>
      </c>
      <c r="L42" s="6" t="s">
        <v>67</v>
      </c>
      <c r="M42" s="6" t="s">
        <v>298</v>
      </c>
      <c r="N42" s="11" t="str">
        <f>VLOOKUP(Séparateur[[#This Row],[Puits]],Puits!$A$1:$F$267,3,FALSE)</f>
        <v>Nord</v>
      </c>
      <c r="O42" s="34">
        <f>(Séparateur[[#This Row],[Qw (sm3/j)]]/(Séparateur[[#This Row],[Qg (Msm3/j)]]*1000))*1000000</f>
        <v>0</v>
      </c>
      <c r="P42" s="34">
        <f>(Séparateur[[#This Row],[Qc (sm3/j)]]/(Séparateur[[#This Row],[Qg (Msm3/j)]]*1000))*1000000</f>
        <v>18.312605956058242</v>
      </c>
      <c r="Q42" s="46">
        <v>0.73299999999999998</v>
      </c>
      <c r="R42" s="46">
        <v>0.67</v>
      </c>
      <c r="S42" s="34">
        <v>0</v>
      </c>
    </row>
    <row r="43" spans="1:19" x14ac:dyDescent="0.25">
      <c r="A43" s="6">
        <v>5</v>
      </c>
      <c r="B43" s="7" t="s">
        <v>216</v>
      </c>
      <c r="C43" s="8">
        <v>45323</v>
      </c>
      <c r="D43" s="7">
        <v>2173</v>
      </c>
      <c r="E43" s="42">
        <v>172.983</v>
      </c>
      <c r="F43" s="10">
        <v>2.89</v>
      </c>
      <c r="G43" s="10">
        <v>0</v>
      </c>
      <c r="H43" s="10">
        <v>50.331728250612393</v>
      </c>
      <c r="I43" s="10">
        <v>62.777777777777779</v>
      </c>
      <c r="J43" s="10">
        <v>88.7</v>
      </c>
      <c r="K43" s="10">
        <v>61.24</v>
      </c>
      <c r="L43" s="6" t="s">
        <v>67</v>
      </c>
      <c r="M43" s="6" t="s">
        <v>298</v>
      </c>
      <c r="N43" s="11" t="str">
        <f>VLOOKUP(Séparateur[[#This Row],[Puits]],Puits!$A$1:$F$267,3,FALSE)</f>
        <v>Nord</v>
      </c>
      <c r="O43" s="34">
        <f>(Séparateur[[#This Row],[Qw (sm3/j)]]/(Séparateur[[#This Row],[Qg (Msm3/j)]]*1000))*1000000</f>
        <v>0</v>
      </c>
      <c r="P43" s="34">
        <f>(Séparateur[[#This Row],[Qc (sm3/j)]]/(Séparateur[[#This Row],[Qg (Msm3/j)]]*1000))*1000000</f>
        <v>16.706844025135418</v>
      </c>
      <c r="Q43" s="46">
        <v>0.73299999999999998</v>
      </c>
      <c r="R43" s="46">
        <v>0.67</v>
      </c>
      <c r="S43" s="34">
        <v>0</v>
      </c>
    </row>
    <row r="44" spans="1:19" x14ac:dyDescent="0.25">
      <c r="A44" s="6">
        <v>6</v>
      </c>
      <c r="B44" s="7" t="s">
        <v>247</v>
      </c>
      <c r="C44" s="8">
        <v>45325</v>
      </c>
      <c r="D44" s="7">
        <v>2190</v>
      </c>
      <c r="E44" s="42">
        <v>691.48900000000003</v>
      </c>
      <c r="F44" s="10">
        <v>4.43</v>
      </c>
      <c r="G44" s="10">
        <v>0.52</v>
      </c>
      <c r="H44" s="10">
        <v>49.986990385882166</v>
      </c>
      <c r="I44" s="10">
        <v>58.888888888888893</v>
      </c>
      <c r="J44" s="10">
        <v>86.3</v>
      </c>
      <c r="K44" s="10">
        <v>63.139429401069592</v>
      </c>
      <c r="L44" s="6" t="s">
        <v>67</v>
      </c>
      <c r="M44" s="6" t="s">
        <v>298</v>
      </c>
      <c r="N44" s="11" t="str">
        <f>VLOOKUP(Séparateur[[#This Row],[Puits]],Puits!$A$1:$F$267,3,FALSE)</f>
        <v>Nord</v>
      </c>
      <c r="O44" s="34">
        <f>(Séparateur[[#This Row],[Qw (sm3/j)]]/(Séparateur[[#This Row],[Qg (Msm3/j)]]*1000))*1000000</f>
        <v>0.75200039335405189</v>
      </c>
      <c r="P44" s="34">
        <f>(Séparateur[[#This Row],[Qc (sm3/j)]]/(Séparateur[[#This Row],[Qg (Msm3/j)]]*1000))*1000000</f>
        <v>6.4064648895354805</v>
      </c>
      <c r="Q44" s="46">
        <v>0.78100000000000003</v>
      </c>
      <c r="R44" s="46">
        <v>0.67</v>
      </c>
      <c r="S44" s="34">
        <v>5.6159999999999997</v>
      </c>
    </row>
    <row r="45" spans="1:19" x14ac:dyDescent="0.25">
      <c r="A45" s="6">
        <v>6</v>
      </c>
      <c r="B45" s="7" t="s">
        <v>247</v>
      </c>
      <c r="C45" s="8">
        <v>45325</v>
      </c>
      <c r="D45" s="7">
        <v>2190</v>
      </c>
      <c r="E45" s="42">
        <v>524.072</v>
      </c>
      <c r="F45" s="10">
        <v>2.96</v>
      </c>
      <c r="G45" s="10">
        <v>0.32</v>
      </c>
      <c r="H45" s="10">
        <v>55.847534086295937</v>
      </c>
      <c r="I45" s="10">
        <v>56.666666666666671</v>
      </c>
      <c r="J45" s="10">
        <v>87.3</v>
      </c>
      <c r="K45" s="10">
        <v>67.461063273327653</v>
      </c>
      <c r="L45" s="6" t="s">
        <v>67</v>
      </c>
      <c r="M45" s="6" t="s">
        <v>298</v>
      </c>
      <c r="N45" s="11" t="str">
        <f>VLOOKUP(Séparateur[[#This Row],[Puits]],Puits!$A$1:$F$267,3,FALSE)</f>
        <v>Nord</v>
      </c>
      <c r="O45" s="34">
        <f>(Séparateur[[#This Row],[Qw (sm3/j)]]/(Séparateur[[#This Row],[Qg (Msm3/j)]]*1000))*1000000</f>
        <v>0.61060312323497534</v>
      </c>
      <c r="P45" s="34">
        <f>(Séparateur[[#This Row],[Qc (sm3/j)]]/(Séparateur[[#This Row],[Qg (Msm3/j)]]*1000))*1000000</f>
        <v>5.6480788899235215</v>
      </c>
      <c r="Q45" s="46">
        <v>0.78100000000000003</v>
      </c>
      <c r="R45" s="46">
        <v>0.67</v>
      </c>
      <c r="S45" s="34">
        <v>3.2759999999999998</v>
      </c>
    </row>
    <row r="46" spans="1:19" x14ac:dyDescent="0.25">
      <c r="A46" s="6">
        <v>6</v>
      </c>
      <c r="B46" s="7" t="s">
        <v>247</v>
      </c>
      <c r="C46" s="8">
        <v>45326</v>
      </c>
      <c r="D46" s="7">
        <v>2190</v>
      </c>
      <c r="E46" s="42">
        <v>363.45299999999997</v>
      </c>
      <c r="F46" s="10">
        <v>2.2200000000000002</v>
      </c>
      <c r="G46" s="10">
        <v>0</v>
      </c>
      <c r="H46" s="10">
        <v>59.9843884630586</v>
      </c>
      <c r="I46" s="10">
        <v>55.555555555555557</v>
      </c>
      <c r="J46" s="10">
        <v>88.1</v>
      </c>
      <c r="K46" s="10">
        <v>71.781318194126783</v>
      </c>
      <c r="L46" s="6" t="s">
        <v>67</v>
      </c>
      <c r="M46" s="6" t="s">
        <v>298</v>
      </c>
      <c r="N46" s="11" t="str">
        <f>VLOOKUP(Séparateur[[#This Row],[Puits]],Puits!$A$1:$F$267,3,FALSE)</f>
        <v>Nord</v>
      </c>
      <c r="O46" s="34">
        <f>(Séparateur[[#This Row],[Qw (sm3/j)]]/(Séparateur[[#This Row],[Qg (Msm3/j)]]*1000))*1000000</f>
        <v>0</v>
      </c>
      <c r="P46" s="34">
        <f>(Séparateur[[#This Row],[Qc (sm3/j)]]/(Séparateur[[#This Row],[Qg (Msm3/j)]]*1000))*1000000</f>
        <v>6.1080799993396679</v>
      </c>
      <c r="Q46" s="46">
        <v>0.77</v>
      </c>
      <c r="R46" s="46">
        <v>0.67</v>
      </c>
      <c r="S46" s="34">
        <v>0</v>
      </c>
    </row>
    <row r="47" spans="1:19" x14ac:dyDescent="0.25">
      <c r="A47" s="6">
        <v>7</v>
      </c>
      <c r="B47" s="7" t="s">
        <v>200</v>
      </c>
      <c r="C47" s="8">
        <v>45327</v>
      </c>
      <c r="D47" s="7">
        <v>2170</v>
      </c>
      <c r="E47" s="42">
        <v>541.86900000000003</v>
      </c>
      <c r="F47" s="10">
        <v>8.64</v>
      </c>
      <c r="G47" s="10">
        <v>1.1200000000000001</v>
      </c>
      <c r="H47" s="10">
        <v>44.815922414928842</v>
      </c>
      <c r="I47" s="10">
        <v>58.888888888888893</v>
      </c>
      <c r="J47" s="10">
        <v>89.51</v>
      </c>
      <c r="K47" s="10">
        <v>69.705996248450859</v>
      </c>
      <c r="L47" s="6" t="s">
        <v>67</v>
      </c>
      <c r="M47" s="6" t="s">
        <v>298</v>
      </c>
      <c r="N47" s="11" t="str">
        <f>VLOOKUP(Séparateur[[#This Row],[Puits]],Puits!$A$1:$F$267,3,FALSE)</f>
        <v>Nord</v>
      </c>
      <c r="O47" s="34">
        <f>(Séparateur[[#This Row],[Qw (sm3/j)]]/(Séparateur[[#This Row],[Qg (Msm3/j)]]*1000))*1000000</f>
        <v>2.066920233488168</v>
      </c>
      <c r="P47" s="34">
        <f>(Séparateur[[#This Row],[Qc (sm3/j)]]/(Séparateur[[#This Row],[Qg (Msm3/j)]]*1000))*1000000</f>
        <v>15.944813229765868</v>
      </c>
      <c r="Q47" s="46">
        <v>0.72899999999999998</v>
      </c>
      <c r="R47" s="46">
        <v>0.67</v>
      </c>
      <c r="S47" s="34">
        <v>140</v>
      </c>
    </row>
    <row r="48" spans="1:19" x14ac:dyDescent="0.25">
      <c r="A48" s="6">
        <v>7</v>
      </c>
      <c r="B48" s="7" t="s">
        <v>200</v>
      </c>
      <c r="C48" s="8">
        <v>45328</v>
      </c>
      <c r="D48" s="7">
        <v>2170</v>
      </c>
      <c r="E48" s="42">
        <v>378.30099999999999</v>
      </c>
      <c r="F48" s="10">
        <v>5.53</v>
      </c>
      <c r="G48" s="10">
        <v>0.72</v>
      </c>
      <c r="H48" s="10">
        <v>56.950695253432649</v>
      </c>
      <c r="I48" s="10">
        <v>58.888888888888893</v>
      </c>
      <c r="J48" s="10">
        <v>91.3</v>
      </c>
      <c r="K48" s="10">
        <v>76.738648688947379</v>
      </c>
      <c r="L48" s="6" t="s">
        <v>67</v>
      </c>
      <c r="M48" s="6" t="s">
        <v>298</v>
      </c>
      <c r="N48" s="11" t="str">
        <f>VLOOKUP(Séparateur[[#This Row],[Puits]],Puits!$A$1:$F$267,3,FALSE)</f>
        <v>Nord</v>
      </c>
      <c r="O48" s="34">
        <f>(Séparateur[[#This Row],[Qw (sm3/j)]]/(Séparateur[[#This Row],[Qg (Msm3/j)]]*1000))*1000000</f>
        <v>1.9032463567370956</v>
      </c>
      <c r="P48" s="34">
        <f>(Séparateur[[#This Row],[Qc (sm3/j)]]/(Séparateur[[#This Row],[Qg (Msm3/j)]]*1000))*1000000</f>
        <v>14.61798937882797</v>
      </c>
      <c r="Q48" s="46">
        <v>0.72399999999999998</v>
      </c>
      <c r="R48" s="46">
        <v>0.67</v>
      </c>
      <c r="S48" s="34">
        <v>0</v>
      </c>
    </row>
    <row r="49" spans="1:19" x14ac:dyDescent="0.25">
      <c r="A49" s="6">
        <v>7</v>
      </c>
      <c r="B49" s="7" t="s">
        <v>200</v>
      </c>
      <c r="C49" s="8">
        <v>45328</v>
      </c>
      <c r="D49" s="7">
        <v>2170</v>
      </c>
      <c r="E49" s="42">
        <v>248.679</v>
      </c>
      <c r="F49" s="10">
        <v>2.95</v>
      </c>
      <c r="G49" s="10">
        <v>0.31</v>
      </c>
      <c r="H49" s="10">
        <v>65.155456434011924</v>
      </c>
      <c r="I49" s="10">
        <v>58.888888888888893</v>
      </c>
      <c r="J49" s="10">
        <v>92.1</v>
      </c>
      <c r="K49" s="10">
        <v>80.323922482141697</v>
      </c>
      <c r="L49" s="6" t="s">
        <v>67</v>
      </c>
      <c r="M49" s="6" t="s">
        <v>298</v>
      </c>
      <c r="N49" s="11" t="str">
        <f>VLOOKUP(Séparateur[[#This Row],[Puits]],Puits!$A$1:$F$267,3,FALSE)</f>
        <v>Nord</v>
      </c>
      <c r="O49" s="34">
        <f>(Séparateur[[#This Row],[Qw (sm3/j)]]/(Séparateur[[#This Row],[Qg (Msm3/j)]]*1000))*1000000</f>
        <v>1.2465869655258386</v>
      </c>
      <c r="P49" s="34">
        <f>(Séparateur[[#This Row],[Qc (sm3/j)]]/(Séparateur[[#This Row],[Qg (Msm3/j)]]*1000))*1000000</f>
        <v>11.862682413874916</v>
      </c>
      <c r="Q49" s="46">
        <v>0.72399999999999998</v>
      </c>
      <c r="R49" s="46">
        <v>0.67</v>
      </c>
      <c r="S49" s="34">
        <v>117</v>
      </c>
    </row>
    <row r="50" spans="1:19" x14ac:dyDescent="0.25">
      <c r="A50" s="6">
        <v>8</v>
      </c>
      <c r="B50" s="7" t="s">
        <v>204</v>
      </c>
      <c r="C50" s="8">
        <v>45330</v>
      </c>
      <c r="D50" s="7">
        <v>2110</v>
      </c>
      <c r="E50" s="42">
        <v>555.03499999999997</v>
      </c>
      <c r="F50" s="10">
        <v>2.16</v>
      </c>
      <c r="G50" s="10">
        <v>0.88</v>
      </c>
      <c r="H50" s="10">
        <v>42.058019497087066</v>
      </c>
      <c r="I50" s="10">
        <v>61.111111111111114</v>
      </c>
      <c r="J50" s="10">
        <v>90.6</v>
      </c>
      <c r="K50" s="10">
        <v>68.528371702532425</v>
      </c>
      <c r="L50" s="6" t="s">
        <v>67</v>
      </c>
      <c r="M50" s="6" t="s">
        <v>303</v>
      </c>
      <c r="N50" s="11" t="str">
        <f>VLOOKUP(Séparateur[[#This Row],[Puits]],Puits!$A$1:$F$267,3,FALSE)</f>
        <v>Centre</v>
      </c>
      <c r="O50" s="34">
        <f>(Séparateur[[#This Row],[Qw (sm3/j)]]/(Séparateur[[#This Row],[Qg (Msm3/j)]]*1000))*1000000</f>
        <v>1.5854856000072068</v>
      </c>
      <c r="P50" s="34">
        <f>(Séparateur[[#This Row],[Qc (sm3/j)]]/(Séparateur[[#This Row],[Qg (Msm3/j)]]*1000))*1000000</f>
        <v>3.8916464727449624</v>
      </c>
      <c r="Q50" s="46">
        <v>0.72699999999999998</v>
      </c>
      <c r="R50" s="46">
        <v>0.67</v>
      </c>
      <c r="S50" s="34">
        <v>7.02</v>
      </c>
    </row>
    <row r="51" spans="1:19" x14ac:dyDescent="0.25">
      <c r="A51" s="6">
        <v>8</v>
      </c>
      <c r="B51" s="7" t="s">
        <v>204</v>
      </c>
      <c r="C51" s="8">
        <v>45330</v>
      </c>
      <c r="D51" s="7">
        <v>2110</v>
      </c>
      <c r="E51" s="42">
        <v>382.74200000000002</v>
      </c>
      <c r="F51" s="10">
        <v>1.44</v>
      </c>
      <c r="G51" s="10">
        <v>0.52</v>
      </c>
      <c r="H51" s="10">
        <v>54.468582627375049</v>
      </c>
      <c r="I51" s="10">
        <v>60</v>
      </c>
      <c r="J51" s="10">
        <v>91.3</v>
      </c>
      <c r="K51" s="10">
        <v>71.86198685447367</v>
      </c>
      <c r="L51" s="6" t="s">
        <v>67</v>
      </c>
      <c r="M51" s="6" t="s">
        <v>303</v>
      </c>
      <c r="N51" s="11" t="str">
        <f>VLOOKUP(Séparateur[[#This Row],[Puits]],Puits!$A$1:$F$267,3,FALSE)</f>
        <v>Centre</v>
      </c>
      <c r="O51" s="34">
        <f>(Séparateur[[#This Row],[Qw (sm3/j)]]/(Séparateur[[#This Row],[Qg (Msm3/j)]]*1000))*1000000</f>
        <v>1.358617554383893</v>
      </c>
      <c r="P51" s="34">
        <f>(Séparateur[[#This Row],[Qc (sm3/j)]]/(Séparateur[[#This Row],[Qg (Msm3/j)]]*1000))*1000000</f>
        <v>3.7623255352169345</v>
      </c>
      <c r="Q51" s="46">
        <v>0.72699999999999998</v>
      </c>
      <c r="R51" s="46">
        <v>0.67</v>
      </c>
      <c r="S51" s="34">
        <v>2.63</v>
      </c>
    </row>
    <row r="52" spans="1:19" x14ac:dyDescent="0.25">
      <c r="A52" s="6">
        <v>8</v>
      </c>
      <c r="B52" s="7" t="s">
        <v>204</v>
      </c>
      <c r="C52" s="8">
        <v>45331</v>
      </c>
      <c r="D52" s="7">
        <v>2110</v>
      </c>
      <c r="E52" s="42">
        <v>236.86199999999999</v>
      </c>
      <c r="F52" s="10">
        <v>0.74</v>
      </c>
      <c r="G52" s="10">
        <v>0</v>
      </c>
      <c r="H52" s="10">
        <v>59.9843884630586</v>
      </c>
      <c r="I52" s="10">
        <v>58.888888888888893</v>
      </c>
      <c r="J52" s="10">
        <v>91.7</v>
      </c>
      <c r="K52" s="10">
        <v>73.56912876061773</v>
      </c>
      <c r="L52" s="6" t="s">
        <v>67</v>
      </c>
      <c r="M52" s="6" t="s">
        <v>303</v>
      </c>
      <c r="N52" s="11" t="str">
        <f>VLOOKUP(Séparateur[[#This Row],[Puits]],Puits!$A$1:$F$267,3,FALSE)</f>
        <v>Centre</v>
      </c>
      <c r="O52" s="34">
        <f>(Séparateur[[#This Row],[Qw (sm3/j)]]/(Séparateur[[#This Row],[Qg (Msm3/j)]]*1000))*1000000</f>
        <v>0</v>
      </c>
      <c r="P52" s="34">
        <f>(Séparateur[[#This Row],[Qc (sm3/j)]]/(Séparateur[[#This Row],[Qg (Msm3/j)]]*1000))*1000000</f>
        <v>3.1241820131553393</v>
      </c>
      <c r="Q52" s="46">
        <v>0.72599999999999998</v>
      </c>
      <c r="R52" s="46">
        <v>0.67</v>
      </c>
      <c r="S52" s="34">
        <v>0</v>
      </c>
    </row>
    <row r="53" spans="1:19" x14ac:dyDescent="0.25">
      <c r="A53" s="6">
        <v>9</v>
      </c>
      <c r="B53" s="7" t="s">
        <v>27</v>
      </c>
      <c r="C53" s="8">
        <v>45332</v>
      </c>
      <c r="D53" s="7">
        <v>2110</v>
      </c>
      <c r="E53" s="42">
        <v>682.101</v>
      </c>
      <c r="F53" s="10">
        <v>6.49</v>
      </c>
      <c r="G53" s="10">
        <v>1.28</v>
      </c>
      <c r="H53" s="10">
        <v>44.471184550198622</v>
      </c>
      <c r="I53" s="10">
        <v>58.888888888888893</v>
      </c>
      <c r="J53" s="10">
        <v>91.4</v>
      </c>
      <c r="K53" s="10">
        <v>71.270416678596604</v>
      </c>
      <c r="L53" s="6" t="s">
        <v>67</v>
      </c>
      <c r="M53" s="6" t="s">
        <v>303</v>
      </c>
      <c r="N53" s="11" t="str">
        <f>VLOOKUP(Séparateur[[#This Row],[Puits]],Puits!$A$1:$F$267,3,FALSE)</f>
        <v>Centre</v>
      </c>
      <c r="O53" s="34">
        <f>(Séparateur[[#This Row],[Qw (sm3/j)]]/(Séparateur[[#This Row],[Qg (Msm3/j)]]*1000))*1000000</f>
        <v>1.8765549383449081</v>
      </c>
      <c r="P53" s="34">
        <f>(Séparateur[[#This Row],[Qc (sm3/j)]]/(Séparateur[[#This Row],[Qg (Msm3/j)]]*1000))*1000000</f>
        <v>9.5147199608269144</v>
      </c>
      <c r="Q53" s="46">
        <v>0.76400000000000001</v>
      </c>
      <c r="R53" s="46">
        <v>0.67</v>
      </c>
      <c r="S53" s="34">
        <v>2.048</v>
      </c>
    </row>
    <row r="54" spans="1:19" x14ac:dyDescent="0.25">
      <c r="A54" s="6">
        <v>9</v>
      </c>
      <c r="B54" s="7" t="s">
        <v>27</v>
      </c>
      <c r="C54" s="8">
        <v>45333</v>
      </c>
      <c r="D54" s="7">
        <v>2110</v>
      </c>
      <c r="E54" s="42">
        <v>481.20100000000002</v>
      </c>
      <c r="F54" s="10">
        <v>4.32</v>
      </c>
      <c r="G54" s="10">
        <v>0.52</v>
      </c>
      <c r="H54" s="10">
        <v>52.400155438993721</v>
      </c>
      <c r="I54" s="10">
        <v>57.777777777777779</v>
      </c>
      <c r="J54" s="10">
        <v>91.6</v>
      </c>
      <c r="K54" s="10">
        <v>71.933002854608091</v>
      </c>
      <c r="L54" s="6" t="s">
        <v>67</v>
      </c>
      <c r="M54" s="6" t="s">
        <v>303</v>
      </c>
      <c r="N54" s="11" t="str">
        <f>VLOOKUP(Séparateur[[#This Row],[Puits]],Puits!$A$1:$F$267,3,FALSE)</f>
        <v>Centre</v>
      </c>
      <c r="O54" s="34">
        <f>(Séparateur[[#This Row],[Qw (sm3/j)]]/(Séparateur[[#This Row],[Qg (Msm3/j)]]*1000))*1000000</f>
        <v>1.0806295082512298</v>
      </c>
      <c r="P54" s="34">
        <f>(Séparateur[[#This Row],[Qc (sm3/j)]]/(Séparateur[[#This Row],[Qg (Msm3/j)]]*1000))*1000000</f>
        <v>8.9775374531640626</v>
      </c>
      <c r="Q54" s="46">
        <v>0.72499999999999998</v>
      </c>
      <c r="R54" s="46">
        <v>0.67</v>
      </c>
      <c r="S54" s="34">
        <v>0</v>
      </c>
    </row>
    <row r="55" spans="1:19" x14ac:dyDescent="0.25">
      <c r="A55" s="6">
        <v>9</v>
      </c>
      <c r="B55" s="7" t="s">
        <v>27</v>
      </c>
      <c r="C55" s="8">
        <v>45333</v>
      </c>
      <c r="D55" s="7">
        <v>2110</v>
      </c>
      <c r="E55" s="42">
        <v>352.38299999999998</v>
      </c>
      <c r="F55" s="10">
        <v>2.87</v>
      </c>
      <c r="G55" s="10">
        <v>0.36</v>
      </c>
      <c r="H55" s="10">
        <v>57.915961274677272</v>
      </c>
      <c r="I55" s="10">
        <v>56.666666666666671</v>
      </c>
      <c r="J55" s="10">
        <v>91.7</v>
      </c>
      <c r="K55" s="10">
        <v>72.369440991356555</v>
      </c>
      <c r="L55" s="6" t="s">
        <v>67</v>
      </c>
      <c r="M55" s="6" t="s">
        <v>303</v>
      </c>
      <c r="N55" s="11" t="str">
        <f>VLOOKUP(Séparateur[[#This Row],[Puits]],Puits!$A$1:$F$267,3,FALSE)</f>
        <v>Centre</v>
      </c>
      <c r="O55" s="34">
        <f>(Séparateur[[#This Row],[Qw (sm3/j)]]/(Séparateur[[#This Row],[Qg (Msm3/j)]]*1000))*1000000</f>
        <v>1.0216156852061535</v>
      </c>
      <c r="P55" s="34">
        <f>(Séparateur[[#This Row],[Qc (sm3/j)]]/(Séparateur[[#This Row],[Qg (Msm3/j)]]*1000))*1000000</f>
        <v>8.1445472681712801</v>
      </c>
      <c r="Q55" s="46">
        <v>0.72499999999999998</v>
      </c>
      <c r="R55" s="46">
        <v>0.67</v>
      </c>
      <c r="S55" s="34">
        <v>0</v>
      </c>
    </row>
    <row r="56" spans="1:19" x14ac:dyDescent="0.25">
      <c r="A56" s="6">
        <v>10</v>
      </c>
      <c r="B56" s="7" t="s">
        <v>45</v>
      </c>
      <c r="C56" s="8">
        <v>45334</v>
      </c>
      <c r="D56" s="7">
        <v>2140</v>
      </c>
      <c r="E56" s="42">
        <v>509.80099999999999</v>
      </c>
      <c r="F56" s="10">
        <v>10.11</v>
      </c>
      <c r="G56" s="10">
        <v>0.52</v>
      </c>
      <c r="H56" s="10">
        <v>41.023805902896399</v>
      </c>
      <c r="I56" s="10">
        <v>62.222222222222229</v>
      </c>
      <c r="J56" s="10">
        <v>91.834000000000003</v>
      </c>
      <c r="K56" s="10">
        <v>67.92714886644292</v>
      </c>
      <c r="L56" s="6" t="s">
        <v>67</v>
      </c>
      <c r="M56" s="6" t="s">
        <v>298</v>
      </c>
      <c r="N56" s="11" t="str">
        <f>VLOOKUP(Séparateur[[#This Row],[Puits]],Puits!$A$1:$F$267,3,FALSE)</f>
        <v>Centre</v>
      </c>
      <c r="O56" s="34">
        <f>(Séparateur[[#This Row],[Qw (sm3/j)]]/(Séparateur[[#This Row],[Qg (Msm3/j)]]*1000))*1000000</f>
        <v>1.0200058454181142</v>
      </c>
      <c r="P56" s="34">
        <f>(Séparateur[[#This Row],[Qc (sm3/j)]]/(Séparateur[[#This Row],[Qg (Msm3/j)]]*1000))*1000000</f>
        <v>19.83126749457141</v>
      </c>
      <c r="Q56" s="46">
        <v>0.753</v>
      </c>
      <c r="R56" s="46">
        <v>0.67</v>
      </c>
      <c r="S56" s="34">
        <v>1.55</v>
      </c>
    </row>
    <row r="57" spans="1:19" x14ac:dyDescent="0.25">
      <c r="A57" s="6">
        <v>10</v>
      </c>
      <c r="B57" s="7" t="s">
        <v>45</v>
      </c>
      <c r="C57" s="8">
        <v>45335</v>
      </c>
      <c r="D57" s="7">
        <v>2140</v>
      </c>
      <c r="E57" s="42">
        <v>390.28899999999999</v>
      </c>
      <c r="F57" s="10">
        <v>6.52</v>
      </c>
      <c r="G57" s="10">
        <v>0.32</v>
      </c>
      <c r="H57" s="10">
        <v>51.365941844803054</v>
      </c>
      <c r="I57" s="10">
        <v>60</v>
      </c>
      <c r="J57" s="10">
        <v>92.2</v>
      </c>
      <c r="K57" s="10">
        <v>70.076244715171114</v>
      </c>
      <c r="L57" s="6" t="s">
        <v>67</v>
      </c>
      <c r="M57" s="6" t="s">
        <v>298</v>
      </c>
      <c r="N57" s="11" t="str">
        <f>VLOOKUP(Séparateur[[#This Row],[Puits]],Puits!$A$1:$F$267,3,FALSE)</f>
        <v>Centre</v>
      </c>
      <c r="O57" s="34">
        <f>(Séparateur[[#This Row],[Qw (sm3/j)]]/(Séparateur[[#This Row],[Qg (Msm3/j)]]*1000))*1000000</f>
        <v>0.81990524969958167</v>
      </c>
      <c r="P57" s="34">
        <f>(Séparateur[[#This Row],[Qc (sm3/j)]]/(Séparateur[[#This Row],[Qg (Msm3/j)]]*1000))*1000000</f>
        <v>16.705569462628976</v>
      </c>
      <c r="Q57" s="46">
        <v>0.74</v>
      </c>
      <c r="R57" s="46">
        <v>0.67</v>
      </c>
      <c r="S57" s="34">
        <v>0.995</v>
      </c>
    </row>
    <row r="58" spans="1:19" x14ac:dyDescent="0.25">
      <c r="A58" s="6">
        <v>10</v>
      </c>
      <c r="B58" s="7" t="s">
        <v>45</v>
      </c>
      <c r="C58" s="8">
        <v>45335</v>
      </c>
      <c r="D58" s="7">
        <v>2140</v>
      </c>
      <c r="E58" s="42">
        <v>268.70499999999998</v>
      </c>
      <c r="F58" s="10">
        <v>3.61</v>
      </c>
      <c r="G58" s="10">
        <v>0</v>
      </c>
      <c r="H58" s="10">
        <v>56.881747680486605</v>
      </c>
      <c r="I58" s="10">
        <v>57.777777777777779</v>
      </c>
      <c r="J58" s="10">
        <v>92.5</v>
      </c>
      <c r="K58" s="10">
        <v>71.526901649955903</v>
      </c>
      <c r="L58" s="6" t="s">
        <v>67</v>
      </c>
      <c r="M58" s="6" t="s">
        <v>298</v>
      </c>
      <c r="N58" s="11" t="str">
        <f>VLOOKUP(Séparateur[[#This Row],[Puits]],Puits!$A$1:$F$267,3,FALSE)</f>
        <v>Centre</v>
      </c>
      <c r="O58" s="34">
        <f>(Séparateur[[#This Row],[Qw (sm3/j)]]/(Séparateur[[#This Row],[Qg (Msm3/j)]]*1000))*1000000</f>
        <v>0</v>
      </c>
      <c r="P58" s="34">
        <f>(Séparateur[[#This Row],[Qc (sm3/j)]]/(Séparateur[[#This Row],[Qg (Msm3/j)]]*1000))*1000000</f>
        <v>13.434807688729276</v>
      </c>
      <c r="Q58" s="46">
        <v>0.751</v>
      </c>
      <c r="R58" s="46">
        <v>0.67</v>
      </c>
      <c r="S58" s="34">
        <v>0</v>
      </c>
    </row>
    <row r="59" spans="1:19" x14ac:dyDescent="0.25">
      <c r="A59" s="6">
        <v>11</v>
      </c>
      <c r="B59" s="7" t="s">
        <v>190</v>
      </c>
      <c r="C59" s="8">
        <v>45336</v>
      </c>
      <c r="D59" s="7">
        <v>2120</v>
      </c>
      <c r="E59" s="42">
        <v>550.06600000000003</v>
      </c>
      <c r="F59" s="10">
        <v>9.31</v>
      </c>
      <c r="G59" s="10">
        <v>0.96</v>
      </c>
      <c r="H59" s="10">
        <v>39.989592308705738</v>
      </c>
      <c r="I59" s="10">
        <v>61.111111111111114</v>
      </c>
      <c r="J59" s="10">
        <v>86.8</v>
      </c>
      <c r="K59" s="10">
        <v>52.391881730240193</v>
      </c>
      <c r="L59" s="6" t="s">
        <v>67</v>
      </c>
      <c r="M59" s="6" t="s">
        <v>298</v>
      </c>
      <c r="N59" s="11" t="str">
        <f>VLOOKUP(Séparateur[[#This Row],[Puits]],Puits!$A$1:$F$267,3,FALSE)</f>
        <v>Centre</v>
      </c>
      <c r="O59" s="34">
        <f>(Séparateur[[#This Row],[Qw (sm3/j)]]/(Séparateur[[#This Row],[Qg (Msm3/j)]]*1000))*1000000</f>
        <v>1.7452451160406206</v>
      </c>
      <c r="P59" s="34">
        <f>(Séparateur[[#This Row],[Qc (sm3/j)]]/(Séparateur[[#This Row],[Qg (Msm3/j)]]*1000))*1000000</f>
        <v>16.925241698268934</v>
      </c>
      <c r="Q59" s="46">
        <v>0.73699999999999999</v>
      </c>
      <c r="R59" s="46">
        <v>0.67</v>
      </c>
      <c r="S59" s="34">
        <v>0</v>
      </c>
    </row>
    <row r="60" spans="1:19" x14ac:dyDescent="0.25">
      <c r="A60" s="6">
        <v>11</v>
      </c>
      <c r="B60" s="7" t="s">
        <v>190</v>
      </c>
      <c r="C60" s="8">
        <v>45337</v>
      </c>
      <c r="D60" s="7">
        <v>2120</v>
      </c>
      <c r="E60" s="42">
        <v>445.899</v>
      </c>
      <c r="F60" s="10">
        <v>6.48</v>
      </c>
      <c r="G60" s="10">
        <v>0.24</v>
      </c>
      <c r="H60" s="10">
        <v>45.988031155011598</v>
      </c>
      <c r="I60" s="10">
        <v>58.888888888888893</v>
      </c>
      <c r="J60" s="10">
        <v>88.3</v>
      </c>
      <c r="K60" s="10">
        <v>57.460217817503917</v>
      </c>
      <c r="L60" s="6" t="s">
        <v>67</v>
      </c>
      <c r="M60" s="6" t="s">
        <v>298</v>
      </c>
      <c r="N60" s="11" t="str">
        <f>VLOOKUP(Séparateur[[#This Row],[Puits]],Puits!$A$1:$F$267,3,FALSE)</f>
        <v>Centre</v>
      </c>
      <c r="O60" s="34">
        <f>(Séparateur[[#This Row],[Qw (sm3/j)]]/(Séparateur[[#This Row],[Qg (Msm3/j)]]*1000))*1000000</f>
        <v>0.53823848001453245</v>
      </c>
      <c r="P60" s="34">
        <f>(Séparateur[[#This Row],[Qc (sm3/j)]]/(Séparateur[[#This Row],[Qg (Msm3/j)]]*1000))*1000000</f>
        <v>14.532438960392376</v>
      </c>
      <c r="Q60" s="46">
        <v>0.73899999999999999</v>
      </c>
      <c r="R60" s="46">
        <v>0.67</v>
      </c>
      <c r="S60" s="34">
        <v>0</v>
      </c>
    </row>
    <row r="61" spans="1:19" x14ac:dyDescent="0.25">
      <c r="A61" s="6">
        <v>11</v>
      </c>
      <c r="B61" s="7" t="s">
        <v>190</v>
      </c>
      <c r="C61" s="8">
        <v>45337</v>
      </c>
      <c r="D61" s="7">
        <v>2120</v>
      </c>
      <c r="E61" s="42">
        <v>342.21300000000002</v>
      </c>
      <c r="F61" s="10">
        <v>5.05</v>
      </c>
      <c r="G61" s="10">
        <v>0.19</v>
      </c>
      <c r="H61" s="10">
        <v>49.986990385882166</v>
      </c>
      <c r="I61" s="10">
        <v>55.555555555555557</v>
      </c>
      <c r="J61" s="10">
        <v>89.2</v>
      </c>
      <c r="K61" s="10">
        <v>60.959996620245128</v>
      </c>
      <c r="L61" s="6" t="s">
        <v>68</v>
      </c>
      <c r="M61" s="6" t="s">
        <v>298</v>
      </c>
      <c r="N61" s="11" t="str">
        <f>VLOOKUP(Séparateur[[#This Row],[Puits]],Puits!$A$1:$F$267,3,FALSE)</f>
        <v>Centre</v>
      </c>
      <c r="O61" s="34">
        <f>(Séparateur[[#This Row],[Qw (sm3/j)]]/(Séparateur[[#This Row],[Qg (Msm3/j)]]*1000))*1000000</f>
        <v>0.55520976701644875</v>
      </c>
      <c r="P61" s="34">
        <f>(Séparateur[[#This Row],[Qc (sm3/j)]]/(Séparateur[[#This Row],[Qg (Msm3/j)]]*1000))*1000000</f>
        <v>14.756891175963508</v>
      </c>
      <c r="Q61" s="46">
        <v>0.73299999999999998</v>
      </c>
      <c r="R61" s="46">
        <v>0.67</v>
      </c>
      <c r="S61" s="34">
        <v>0</v>
      </c>
    </row>
    <row r="62" spans="1:19" x14ac:dyDescent="0.25">
      <c r="A62" s="6">
        <v>12</v>
      </c>
      <c r="B62" s="7" t="s">
        <v>219</v>
      </c>
      <c r="C62" s="8">
        <v>45338</v>
      </c>
      <c r="D62" s="7">
        <v>2125</v>
      </c>
      <c r="E62" s="42">
        <v>452.81099999999998</v>
      </c>
      <c r="F62" s="10">
        <v>3.73</v>
      </c>
      <c r="G62" s="10">
        <v>0.96</v>
      </c>
      <c r="H62" s="10">
        <v>37.438532109702095</v>
      </c>
      <c r="I62" s="10">
        <v>58.888888888888893</v>
      </c>
      <c r="J62" s="10">
        <v>89.596999999999994</v>
      </c>
      <c r="K62" s="10">
        <v>61.330658772403062</v>
      </c>
      <c r="L62" s="6" t="s">
        <v>67</v>
      </c>
      <c r="M62" s="6" t="s">
        <v>298</v>
      </c>
      <c r="N62" s="11" t="str">
        <f>VLOOKUP(Séparateur[[#This Row],[Puits]],Puits!$A$1:$F$267,3,FALSE)</f>
        <v>Centre</v>
      </c>
      <c r="O62" s="34">
        <f>(Séparateur[[#This Row],[Qw (sm3/j)]]/(Séparateur[[#This Row],[Qg (Msm3/j)]]*1000))*1000000</f>
        <v>2.1200898388069191</v>
      </c>
      <c r="P62" s="34">
        <f>(Séparateur[[#This Row],[Qc (sm3/j)]]/(Séparateur[[#This Row],[Qg (Msm3/j)]]*1000))*1000000</f>
        <v>8.2374323945310515</v>
      </c>
      <c r="Q62" s="46">
        <v>0.748</v>
      </c>
      <c r="R62" s="46">
        <v>0.67</v>
      </c>
      <c r="S62" s="34">
        <v>2.46</v>
      </c>
    </row>
    <row r="63" spans="1:19" x14ac:dyDescent="0.25">
      <c r="A63" s="6">
        <v>12</v>
      </c>
      <c r="B63" s="7" t="s">
        <v>219</v>
      </c>
      <c r="C63" s="8">
        <v>45339</v>
      </c>
      <c r="D63" s="7">
        <v>2125</v>
      </c>
      <c r="E63" s="42">
        <v>353.76400000000001</v>
      </c>
      <c r="F63" s="10">
        <v>2.79</v>
      </c>
      <c r="G63" s="10">
        <v>0.24</v>
      </c>
      <c r="H63" s="10">
        <v>46.19487387384973</v>
      </c>
      <c r="I63" s="10">
        <v>57.777777777777779</v>
      </c>
      <c r="J63" s="10">
        <v>90.191999999999993</v>
      </c>
      <c r="K63" s="10">
        <v>63.595517596107676</v>
      </c>
      <c r="L63" s="6" t="s">
        <v>67</v>
      </c>
      <c r="M63" s="6" t="s">
        <v>298</v>
      </c>
      <c r="N63" s="11" t="str">
        <f>VLOOKUP(Séparateur[[#This Row],[Puits]],Puits!$A$1:$F$267,3,FALSE)</f>
        <v>Centre</v>
      </c>
      <c r="O63" s="34">
        <f>(Séparateur[[#This Row],[Qw (sm3/j)]]/(Séparateur[[#This Row],[Qg (Msm3/j)]]*1000))*1000000</f>
        <v>0.67841838061532544</v>
      </c>
      <c r="P63" s="34">
        <f>(Séparateur[[#This Row],[Qc (sm3/j)]]/(Séparateur[[#This Row],[Qg (Msm3/j)]]*1000))*1000000</f>
        <v>7.8866136746531597</v>
      </c>
      <c r="Q63" s="46">
        <v>0.74</v>
      </c>
      <c r="R63" s="46">
        <v>0.67</v>
      </c>
      <c r="S63" s="34">
        <v>0.88</v>
      </c>
    </row>
    <row r="64" spans="1:19" x14ac:dyDescent="0.25">
      <c r="A64" s="6">
        <v>12</v>
      </c>
      <c r="B64" s="7" t="s">
        <v>219</v>
      </c>
      <c r="C64" s="8">
        <v>45339</v>
      </c>
      <c r="D64" s="7">
        <v>2125</v>
      </c>
      <c r="E64" s="42">
        <v>252.38200000000001</v>
      </c>
      <c r="F64" s="10">
        <v>2.23</v>
      </c>
      <c r="G64" s="10">
        <v>0.19</v>
      </c>
      <c r="H64" s="10">
        <v>51.986470001317457</v>
      </c>
      <c r="I64" s="10">
        <v>55.555555555555557</v>
      </c>
      <c r="J64" s="10">
        <v>90.653000000000006</v>
      </c>
      <c r="K64" s="10">
        <v>65.355404395555453</v>
      </c>
      <c r="L64" s="6" t="s">
        <v>68</v>
      </c>
      <c r="M64" s="6" t="s">
        <v>298</v>
      </c>
      <c r="N64" s="11" t="str">
        <f>VLOOKUP(Séparateur[[#This Row],[Puits]],Puits!$A$1:$F$267,3,FALSE)</f>
        <v>Centre</v>
      </c>
      <c r="O64" s="34">
        <f>(Séparateur[[#This Row],[Qw (sm3/j)]]/(Séparateur[[#This Row],[Qg (Msm3/j)]]*1000))*1000000</f>
        <v>0.7528270637367166</v>
      </c>
      <c r="P64" s="34">
        <f>(Séparateur[[#This Row],[Qc (sm3/j)]]/(Séparateur[[#This Row],[Qg (Msm3/j)]]*1000))*1000000</f>
        <v>8.8358123796467254</v>
      </c>
      <c r="Q64" s="46">
        <v>0.749</v>
      </c>
      <c r="R64" s="46">
        <v>0.67</v>
      </c>
      <c r="S64" s="34">
        <v>0.88</v>
      </c>
    </row>
    <row r="65" spans="1:19" x14ac:dyDescent="0.25">
      <c r="A65" s="6">
        <v>13</v>
      </c>
      <c r="B65" s="7" t="s">
        <v>245</v>
      </c>
      <c r="C65" s="8">
        <v>45340</v>
      </c>
      <c r="D65" s="7">
        <v>2070</v>
      </c>
      <c r="E65" s="42">
        <v>579.904</v>
      </c>
      <c r="F65" s="10">
        <v>5.84</v>
      </c>
      <c r="G65" s="10">
        <v>0.48</v>
      </c>
      <c r="H65" s="10">
        <v>41.506438913518714</v>
      </c>
      <c r="I65" s="10">
        <v>61.111111111111114</v>
      </c>
      <c r="J65" s="10">
        <v>84.7</v>
      </c>
      <c r="K65" s="10">
        <v>54.156939597658933</v>
      </c>
      <c r="L65" s="6" t="s">
        <v>67</v>
      </c>
      <c r="M65" s="6" t="s">
        <v>298</v>
      </c>
      <c r="N65" s="11" t="str">
        <f>VLOOKUP(Séparateur[[#This Row],[Puits]],Puits!$A$1:$F$267,3,FALSE)</f>
        <v>Centre</v>
      </c>
      <c r="O65" s="34">
        <f>(Séparateur[[#This Row],[Qw (sm3/j)]]/(Séparateur[[#This Row],[Qg (Msm3/j)]]*1000))*1000000</f>
        <v>0.8277232093587904</v>
      </c>
      <c r="P65" s="34">
        <f>(Séparateur[[#This Row],[Qc (sm3/j)]]/(Séparateur[[#This Row],[Qg (Msm3/j)]]*1000))*1000000</f>
        <v>10.070632380531949</v>
      </c>
      <c r="Q65" s="46">
        <v>0.751</v>
      </c>
      <c r="R65" s="46">
        <v>0.67</v>
      </c>
      <c r="S65" s="34">
        <v>0</v>
      </c>
    </row>
    <row r="66" spans="1:19" x14ac:dyDescent="0.25">
      <c r="A66" s="6">
        <v>13</v>
      </c>
      <c r="B66" s="7" t="s">
        <v>245</v>
      </c>
      <c r="C66" s="8">
        <v>45341</v>
      </c>
      <c r="D66" s="7">
        <v>2070</v>
      </c>
      <c r="E66" s="42">
        <v>451.59500000000003</v>
      </c>
      <c r="F66" s="10">
        <v>4.34</v>
      </c>
      <c r="G66" s="10">
        <v>0.32</v>
      </c>
      <c r="H66" s="10">
        <v>47.987510770446882</v>
      </c>
      <c r="I66" s="10">
        <v>60</v>
      </c>
      <c r="J66" s="10">
        <v>86.2</v>
      </c>
      <c r="K66" s="10">
        <v>59.582424112783158</v>
      </c>
      <c r="L66" s="6" t="s">
        <v>67</v>
      </c>
      <c r="M66" s="6" t="s">
        <v>298</v>
      </c>
      <c r="N66" s="11" t="str">
        <f>VLOOKUP(Séparateur[[#This Row],[Puits]],Puits!$A$1:$F$267,3,FALSE)</f>
        <v>Centre</v>
      </c>
      <c r="O66" s="34">
        <f>(Séparateur[[#This Row],[Qw (sm3/j)]]/(Séparateur[[#This Row],[Qg (Msm3/j)]]*1000))*1000000</f>
        <v>0.7085995194809509</v>
      </c>
      <c r="P66" s="34">
        <f>(Séparateur[[#This Row],[Qc (sm3/j)]]/(Séparateur[[#This Row],[Qg (Msm3/j)]]*1000))*1000000</f>
        <v>9.610380982960395</v>
      </c>
      <c r="Q66" s="46">
        <v>0.752</v>
      </c>
      <c r="R66" s="46">
        <v>0.67</v>
      </c>
      <c r="S66" s="34">
        <v>0</v>
      </c>
    </row>
    <row r="67" spans="1:19" x14ac:dyDescent="0.25">
      <c r="A67" s="6">
        <v>13</v>
      </c>
      <c r="B67" s="7" t="s">
        <v>245</v>
      </c>
      <c r="C67" s="8">
        <v>45341</v>
      </c>
      <c r="D67" s="7">
        <v>2070</v>
      </c>
      <c r="E67" s="42">
        <v>342.90499999999997</v>
      </c>
      <c r="F67" s="10">
        <v>2.92</v>
      </c>
      <c r="G67" s="10">
        <v>0.24</v>
      </c>
      <c r="H67" s="10">
        <v>51.986470001317457</v>
      </c>
      <c r="I67" s="10">
        <v>58.888888888888893</v>
      </c>
      <c r="J67" s="10">
        <v>87.1</v>
      </c>
      <c r="K67" s="10">
        <v>62.997397400800743</v>
      </c>
      <c r="L67" s="6" t="s">
        <v>67</v>
      </c>
      <c r="M67" s="6" t="s">
        <v>298</v>
      </c>
      <c r="N67" s="11" t="str">
        <f>VLOOKUP(Séparateur[[#This Row],[Puits]],Puits!$A$1:$F$267,3,FALSE)</f>
        <v>Centre</v>
      </c>
      <c r="O67" s="34">
        <f>(Séparateur[[#This Row],[Qw (sm3/j)]]/(Séparateur[[#This Row],[Qg (Msm3/j)]]*1000))*1000000</f>
        <v>0.69990230530321806</v>
      </c>
      <c r="P67" s="34">
        <f>(Séparateur[[#This Row],[Qc (sm3/j)]]/(Séparateur[[#This Row],[Qg (Msm3/j)]]*1000))*1000000</f>
        <v>8.5154780478558205</v>
      </c>
      <c r="Q67" s="46">
        <v>0.75</v>
      </c>
      <c r="R67" s="46">
        <v>0.67</v>
      </c>
      <c r="S67" s="34">
        <v>0</v>
      </c>
    </row>
    <row r="68" spans="1:19" x14ac:dyDescent="0.25">
      <c r="A68" s="6">
        <v>14</v>
      </c>
      <c r="B68" s="7" t="s">
        <v>173</v>
      </c>
      <c r="C68" s="8">
        <v>45340</v>
      </c>
      <c r="D68" s="7">
        <v>2175</v>
      </c>
      <c r="E68" s="42">
        <v>775.12599999999998</v>
      </c>
      <c r="F68" s="10">
        <v>10.4</v>
      </c>
      <c r="G68" s="10">
        <v>1.6</v>
      </c>
      <c r="H68" s="10">
        <v>44.402236977252578</v>
      </c>
      <c r="I68" s="10">
        <v>62.222222222222229</v>
      </c>
      <c r="J68" s="10">
        <v>89.081000000000003</v>
      </c>
      <c r="K68" s="10">
        <v>56.831209109517161</v>
      </c>
      <c r="L68" s="6" t="s">
        <v>67</v>
      </c>
      <c r="M68" s="6" t="s">
        <v>298</v>
      </c>
      <c r="N68" s="11" t="str">
        <f>VLOOKUP(Séparateur[[#This Row],[Puits]],Puits!$A$1:$F$267,3,FALSE)</f>
        <v>Centre</v>
      </c>
      <c r="O68" s="34">
        <f>(Séparateur[[#This Row],[Qw (sm3/j)]]/(Séparateur[[#This Row],[Qg (Msm3/j)]]*1000))*1000000</f>
        <v>2.0641805332294365</v>
      </c>
      <c r="P68" s="34">
        <f>(Séparateur[[#This Row],[Qc (sm3/j)]]/(Séparateur[[#This Row],[Qg (Msm3/j)]]*1000))*1000000</f>
        <v>13.417173465991336</v>
      </c>
      <c r="Q68" s="46">
        <v>0.79200000000000004</v>
      </c>
      <c r="R68" s="46">
        <v>0.65600000000000003</v>
      </c>
      <c r="S68" s="34">
        <v>0</v>
      </c>
    </row>
    <row r="69" spans="1:19" x14ac:dyDescent="0.25">
      <c r="A69" s="6">
        <v>14</v>
      </c>
      <c r="B69" s="7" t="s">
        <v>173</v>
      </c>
      <c r="C69" s="8">
        <v>45341</v>
      </c>
      <c r="D69" s="7">
        <v>2175</v>
      </c>
      <c r="E69" s="42">
        <v>654.64200000000005</v>
      </c>
      <c r="F69" s="10">
        <v>7.08</v>
      </c>
      <c r="G69" s="10">
        <v>0.8</v>
      </c>
      <c r="H69" s="10">
        <v>46.677506884472038</v>
      </c>
      <c r="I69" s="10">
        <v>63.888888888888893</v>
      </c>
      <c r="J69" s="10">
        <v>89.4</v>
      </c>
      <c r="K69" s="10">
        <v>58.01145366320754</v>
      </c>
      <c r="L69" s="6" t="s">
        <v>68</v>
      </c>
      <c r="M69" s="6" t="s">
        <v>298</v>
      </c>
      <c r="N69" s="11" t="str">
        <f>VLOOKUP(Séparateur[[#This Row],[Puits]],Puits!$A$1:$F$267,3,FALSE)</f>
        <v>Centre</v>
      </c>
      <c r="O69" s="34">
        <f>(Séparateur[[#This Row],[Qw (sm3/j)]]/(Séparateur[[#This Row],[Qg (Msm3/j)]]*1000))*1000000</f>
        <v>1.2220419710314951</v>
      </c>
      <c r="P69" s="34">
        <f>(Séparateur[[#This Row],[Qc (sm3/j)]]/(Séparateur[[#This Row],[Qg (Msm3/j)]]*1000))*1000000</f>
        <v>10.815071443628732</v>
      </c>
      <c r="Q69" s="46">
        <v>0.79200000000000004</v>
      </c>
      <c r="R69" s="46">
        <v>0.65600000000000003</v>
      </c>
      <c r="S69" s="34">
        <v>0</v>
      </c>
    </row>
    <row r="70" spans="1:19" x14ac:dyDescent="0.25">
      <c r="A70" s="6">
        <v>14</v>
      </c>
      <c r="B70" s="7" t="s">
        <v>173</v>
      </c>
      <c r="C70" s="8">
        <v>45341</v>
      </c>
      <c r="D70" s="7">
        <v>2175</v>
      </c>
      <c r="E70" s="42">
        <v>507.774</v>
      </c>
      <c r="F70" s="10">
        <v>5.8</v>
      </c>
      <c r="G70" s="10">
        <v>0.48</v>
      </c>
      <c r="H70" s="10">
        <v>49.504357375259858</v>
      </c>
      <c r="I70" s="10">
        <v>63.888888888888893</v>
      </c>
      <c r="J70" s="10">
        <v>89.941000000000003</v>
      </c>
      <c r="K70" s="10">
        <v>60.236391842176396</v>
      </c>
      <c r="L70" s="6" t="s">
        <v>67</v>
      </c>
      <c r="M70" s="6" t="s">
        <v>298</v>
      </c>
      <c r="N70" s="11" t="str">
        <f>VLOOKUP(Séparateur[[#This Row],[Puits]],Puits!$A$1:$F$267,3,FALSE)</f>
        <v>Centre</v>
      </c>
      <c r="O70" s="34">
        <f>(Séparateur[[#This Row],[Qw (sm3/j)]]/(Séparateur[[#This Row],[Qg (Msm3/j)]]*1000))*1000000</f>
        <v>0.94530243769866118</v>
      </c>
      <c r="P70" s="34">
        <f>(Séparateur[[#This Row],[Qc (sm3/j)]]/(Séparateur[[#This Row],[Qg (Msm3/j)]]*1000))*1000000</f>
        <v>11.42240445552549</v>
      </c>
      <c r="Q70" s="46">
        <v>0.79200000000000004</v>
      </c>
      <c r="R70" s="46">
        <v>0.65600000000000003</v>
      </c>
      <c r="S70" s="34">
        <v>0</v>
      </c>
    </row>
    <row r="71" spans="1:19" x14ac:dyDescent="0.25">
      <c r="A71" s="6">
        <v>15</v>
      </c>
      <c r="B71" s="7" t="s">
        <v>270</v>
      </c>
      <c r="C71" s="8">
        <v>45342</v>
      </c>
      <c r="D71" s="7">
        <v>2080</v>
      </c>
      <c r="E71" s="42">
        <v>648.23599999999999</v>
      </c>
      <c r="F71" s="10">
        <v>8.56</v>
      </c>
      <c r="G71" s="10">
        <v>0.56000000000000005</v>
      </c>
      <c r="H71" s="10">
        <v>41.368543767626619</v>
      </c>
      <c r="I71" s="10">
        <v>62.222222222222229</v>
      </c>
      <c r="J71" s="10">
        <v>86.6</v>
      </c>
      <c r="K71" s="10">
        <v>52.806256643645924</v>
      </c>
      <c r="L71" s="6" t="s">
        <v>67</v>
      </c>
      <c r="M71" s="6" t="s">
        <v>298</v>
      </c>
      <c r="N71" s="11" t="str">
        <f>VLOOKUP(Séparateur[[#This Row],[Puits]],Puits!$A$1:$F$267,3,FALSE)</f>
        <v>Centre</v>
      </c>
      <c r="O71" s="34">
        <f>(Séparateur[[#This Row],[Qw (sm3/j)]]/(Séparateur[[#This Row],[Qg (Msm3/j)]]*1000))*1000000</f>
        <v>0.86388290684256974</v>
      </c>
      <c r="P71" s="34">
        <f>(Séparateur[[#This Row],[Qc (sm3/j)]]/(Séparateur[[#This Row],[Qg (Msm3/j)]]*1000))*1000000</f>
        <v>13.205067290307852</v>
      </c>
      <c r="Q71" s="46">
        <v>0.72</v>
      </c>
      <c r="R71" s="46">
        <v>0.67</v>
      </c>
      <c r="S71" s="34">
        <v>18.603000000000002</v>
      </c>
    </row>
    <row r="72" spans="1:19" x14ac:dyDescent="0.25">
      <c r="A72" s="6">
        <v>15</v>
      </c>
      <c r="B72" s="7" t="s">
        <v>270</v>
      </c>
      <c r="C72" s="8">
        <v>45342</v>
      </c>
      <c r="D72" s="7">
        <v>2080</v>
      </c>
      <c r="E72" s="42">
        <v>500.13499999999999</v>
      </c>
      <c r="F72" s="10">
        <v>6.96</v>
      </c>
      <c r="G72" s="10">
        <v>0.32</v>
      </c>
      <c r="H72" s="10">
        <v>47.366982613932485</v>
      </c>
      <c r="I72" s="10">
        <v>61.666666666666671</v>
      </c>
      <c r="J72" s="10">
        <v>88</v>
      </c>
      <c r="K72" s="10">
        <v>57.705671177191839</v>
      </c>
      <c r="L72" s="6" t="s">
        <v>68</v>
      </c>
      <c r="M72" s="6" t="s">
        <v>298</v>
      </c>
      <c r="N72" s="11" t="str">
        <f>VLOOKUP(Séparateur[[#This Row],[Puits]],Puits!$A$1:$F$267,3,FALSE)</f>
        <v>Centre</v>
      </c>
      <c r="O72" s="34">
        <f>(Séparateur[[#This Row],[Qw (sm3/j)]]/(Séparateur[[#This Row],[Qg (Msm3/j)]]*1000))*1000000</f>
        <v>0.63982724664340629</v>
      </c>
      <c r="P72" s="34">
        <f>(Séparateur[[#This Row],[Qc (sm3/j)]]/(Séparateur[[#This Row],[Qg (Msm3/j)]]*1000))*1000000</f>
        <v>13.916242614494086</v>
      </c>
      <c r="Q72" s="46">
        <v>0.72</v>
      </c>
      <c r="R72" s="46">
        <v>0.67</v>
      </c>
      <c r="S72" s="34">
        <v>7.4829999999999997</v>
      </c>
    </row>
    <row r="73" spans="1:19" x14ac:dyDescent="0.25">
      <c r="A73" s="6">
        <v>15</v>
      </c>
      <c r="B73" s="7" t="s">
        <v>270</v>
      </c>
      <c r="C73" s="8">
        <v>45343</v>
      </c>
      <c r="D73" s="7">
        <v>2080</v>
      </c>
      <c r="E73" s="42">
        <v>366.315</v>
      </c>
      <c r="F73" s="10">
        <v>6.24</v>
      </c>
      <c r="G73" s="10">
        <v>0.28000000000000003</v>
      </c>
      <c r="H73" s="10">
        <v>51.986470001317457</v>
      </c>
      <c r="I73" s="10">
        <v>58.333333333333336</v>
      </c>
      <c r="J73" s="10">
        <v>89</v>
      </c>
      <c r="K73" s="10">
        <v>61.748756854747882</v>
      </c>
      <c r="L73" s="6" t="s">
        <v>67</v>
      </c>
      <c r="M73" s="6" t="s">
        <v>298</v>
      </c>
      <c r="N73" s="11" t="str">
        <f>VLOOKUP(Séparateur[[#This Row],[Puits]],Puits!$A$1:$F$267,3,FALSE)</f>
        <v>Centre</v>
      </c>
      <c r="O73" s="34">
        <f>(Séparateur[[#This Row],[Qw (sm3/j)]]/(Séparateur[[#This Row],[Qg (Msm3/j)]]*1000))*1000000</f>
        <v>0.76436946343993573</v>
      </c>
      <c r="P73" s="34">
        <f>(Séparateur[[#This Row],[Qc (sm3/j)]]/(Séparateur[[#This Row],[Qg (Msm3/j)]]*1000))*1000000</f>
        <v>17.034519470947139</v>
      </c>
      <c r="Q73" s="46">
        <v>0.72</v>
      </c>
      <c r="R73" s="46">
        <v>0.67</v>
      </c>
      <c r="S73" s="34">
        <v>6.4349999999999996</v>
      </c>
    </row>
    <row r="74" spans="1:19" x14ac:dyDescent="0.25">
      <c r="A74" s="6">
        <v>16</v>
      </c>
      <c r="B74" s="7" t="s">
        <v>220</v>
      </c>
      <c r="C74" s="8">
        <v>45342</v>
      </c>
      <c r="D74" s="7">
        <v>2140</v>
      </c>
      <c r="E74" s="42">
        <v>517.00400000000002</v>
      </c>
      <c r="F74" s="10">
        <v>5.0999999999999996</v>
      </c>
      <c r="G74" s="10">
        <v>0.48</v>
      </c>
      <c r="H74" s="10">
        <v>42.402757361817287</v>
      </c>
      <c r="I74" s="10">
        <v>54.44444444444445</v>
      </c>
      <c r="J74" s="10">
        <v>90.147000000000006</v>
      </c>
      <c r="K74" s="10">
        <v>69.156484092070883</v>
      </c>
      <c r="L74" s="6" t="s">
        <v>67</v>
      </c>
      <c r="M74" s="6" t="s">
        <v>298</v>
      </c>
      <c r="N74" s="11" t="str">
        <f>VLOOKUP(Séparateur[[#This Row],[Puits]],Puits!$A$1:$F$267,3,FALSE)</f>
        <v>Centre</v>
      </c>
      <c r="O74" s="34">
        <f>(Séparateur[[#This Row],[Qw (sm3/j)]]/(Séparateur[[#This Row],[Qg (Msm3/j)]]*1000))*1000000</f>
        <v>0.92842608567825391</v>
      </c>
      <c r="P74" s="34">
        <f>(Séparateur[[#This Row],[Qc (sm3/j)]]/(Séparateur[[#This Row],[Qg (Msm3/j)]]*1000))*1000000</f>
        <v>9.8645271603314466</v>
      </c>
      <c r="Q74" s="46">
        <v>0.72799999999999998</v>
      </c>
      <c r="R74" s="46">
        <v>0.67</v>
      </c>
      <c r="S74" s="34">
        <v>0</v>
      </c>
    </row>
    <row r="75" spans="1:19" x14ac:dyDescent="0.25">
      <c r="A75" s="6">
        <v>16</v>
      </c>
      <c r="B75" s="7" t="s">
        <v>220</v>
      </c>
      <c r="C75" s="8">
        <v>45343</v>
      </c>
      <c r="D75" s="7">
        <v>2140</v>
      </c>
      <c r="E75" s="42">
        <v>390.76400000000001</v>
      </c>
      <c r="F75" s="10">
        <v>4.78</v>
      </c>
      <c r="G75" s="10">
        <v>0.4</v>
      </c>
      <c r="H75" s="10">
        <v>50.883308834180745</v>
      </c>
      <c r="I75" s="10">
        <v>47.222222222222221</v>
      </c>
      <c r="J75" s="10">
        <v>90.406000000000006</v>
      </c>
      <c r="K75" s="10">
        <v>70.233858866925772</v>
      </c>
      <c r="L75" s="6" t="s">
        <v>67</v>
      </c>
      <c r="M75" s="6" t="s">
        <v>298</v>
      </c>
      <c r="N75" s="11" t="str">
        <f>VLOOKUP(Séparateur[[#This Row],[Puits]],Puits!$A$1:$F$267,3,FALSE)</f>
        <v>Centre</v>
      </c>
      <c r="O75" s="34">
        <f>(Séparateur[[#This Row],[Qw (sm3/j)]]/(Séparateur[[#This Row],[Qg (Msm3/j)]]*1000))*1000000</f>
        <v>1.0236357494549142</v>
      </c>
      <c r="P75" s="34">
        <f>(Séparateur[[#This Row],[Qc (sm3/j)]]/(Séparateur[[#This Row],[Qg (Msm3/j)]]*1000))*1000000</f>
        <v>12.232447205986222</v>
      </c>
      <c r="Q75" s="46">
        <v>0.73599999999999999</v>
      </c>
      <c r="R75" s="46">
        <v>0.67</v>
      </c>
      <c r="S75" s="34">
        <v>0.23699999999999999</v>
      </c>
    </row>
    <row r="76" spans="1:19" x14ac:dyDescent="0.25">
      <c r="A76" s="6">
        <v>16</v>
      </c>
      <c r="B76" s="7" t="s">
        <v>220</v>
      </c>
      <c r="C76" s="8">
        <v>45343</v>
      </c>
      <c r="D76" s="7">
        <v>2140</v>
      </c>
      <c r="E76" s="42">
        <v>271.63</v>
      </c>
      <c r="F76" s="10">
        <v>3.69</v>
      </c>
      <c r="G76" s="10">
        <v>0.12</v>
      </c>
      <c r="H76" s="10">
        <v>56.399114669864296</v>
      </c>
      <c r="I76" s="10">
        <v>45</v>
      </c>
      <c r="J76" s="10">
        <v>90.600999999999999</v>
      </c>
      <c r="K76" s="10">
        <v>71.076398208326438</v>
      </c>
      <c r="L76" s="6" t="s">
        <v>67</v>
      </c>
      <c r="M76" s="6" t="s">
        <v>298</v>
      </c>
      <c r="N76" s="11" t="str">
        <f>VLOOKUP(Séparateur[[#This Row],[Puits]],Puits!$A$1:$F$267,3,FALSE)</f>
        <v>Centre</v>
      </c>
      <c r="O76" s="34">
        <f>(Séparateur[[#This Row],[Qw (sm3/j)]]/(Séparateur[[#This Row],[Qg (Msm3/j)]]*1000))*1000000</f>
        <v>0.44177741781099289</v>
      </c>
      <c r="P76" s="34">
        <f>(Séparateur[[#This Row],[Qc (sm3/j)]]/(Séparateur[[#This Row],[Qg (Msm3/j)]]*1000))*1000000</f>
        <v>13.58465559768803</v>
      </c>
      <c r="Q76" s="46">
        <v>0.72799999999999998</v>
      </c>
      <c r="R76" s="46">
        <v>0.67</v>
      </c>
      <c r="S76" s="34">
        <v>0.11700000000000001</v>
      </c>
    </row>
    <row r="77" spans="1:19" x14ac:dyDescent="0.25">
      <c r="A77" s="6">
        <v>17</v>
      </c>
      <c r="B77" s="7" t="s">
        <v>258</v>
      </c>
      <c r="C77" s="8">
        <v>45344</v>
      </c>
      <c r="D77" s="7">
        <v>2140</v>
      </c>
      <c r="E77" s="42">
        <v>740.279</v>
      </c>
      <c r="F77" s="10">
        <v>4.34</v>
      </c>
      <c r="G77" s="10">
        <v>0.72</v>
      </c>
      <c r="H77" s="10">
        <v>41.397501748263956</v>
      </c>
      <c r="I77" s="10">
        <v>63.277777777777786</v>
      </c>
      <c r="J77" s="10">
        <v>86.9</v>
      </c>
      <c r="K77" s="10">
        <v>52.923467517654203</v>
      </c>
      <c r="L77" s="6" t="s">
        <v>67</v>
      </c>
      <c r="M77" s="6" t="s">
        <v>298</v>
      </c>
      <c r="N77" s="11" t="str">
        <f>VLOOKUP(Séparateur[[#This Row],[Puits]],Puits!$A$1:$F$267,3,FALSE)</f>
        <v>Centre</v>
      </c>
      <c r="O77" s="34">
        <f>(Séparateur[[#This Row],[Qw (sm3/j)]]/(Séparateur[[#This Row],[Qg (Msm3/j)]]*1000))*1000000</f>
        <v>0.97260627412097334</v>
      </c>
      <c r="P77" s="34">
        <f>(Séparateur[[#This Row],[Qc (sm3/j)]]/(Séparateur[[#This Row],[Qg (Msm3/j)]]*1000))*1000000</f>
        <v>5.8626544856736444</v>
      </c>
      <c r="Q77" s="46">
        <v>0.75700000000000001</v>
      </c>
      <c r="R77" s="46">
        <v>0.67</v>
      </c>
      <c r="S77" s="34">
        <v>2.87</v>
      </c>
    </row>
    <row r="78" spans="1:19" x14ac:dyDescent="0.25">
      <c r="A78" s="6">
        <v>17</v>
      </c>
      <c r="B78" s="7" t="s">
        <v>258</v>
      </c>
      <c r="C78" s="8">
        <v>45344</v>
      </c>
      <c r="D78" s="7">
        <v>2140</v>
      </c>
      <c r="E78" s="42">
        <v>608.62900000000002</v>
      </c>
      <c r="F78" s="10">
        <v>3.84</v>
      </c>
      <c r="G78" s="10">
        <v>0.6</v>
      </c>
      <c r="H78" s="10">
        <v>45.287523813879787</v>
      </c>
      <c r="I78" s="10">
        <v>62.222222222222229</v>
      </c>
      <c r="J78" s="10">
        <v>87.7</v>
      </c>
      <c r="K78" s="10">
        <v>55.882697348498425</v>
      </c>
      <c r="L78" s="6" t="s">
        <v>68</v>
      </c>
      <c r="M78" s="6" t="s">
        <v>298</v>
      </c>
      <c r="N78" s="11" t="str">
        <f>VLOOKUP(Séparateur[[#This Row],[Puits]],Puits!$A$1:$F$267,3,FALSE)</f>
        <v>Centre</v>
      </c>
      <c r="O78" s="34">
        <f>(Séparateur[[#This Row],[Qw (sm3/j)]]/(Séparateur[[#This Row],[Qg (Msm3/j)]]*1000))*1000000</f>
        <v>0.98582223324882634</v>
      </c>
      <c r="P78" s="34">
        <f>(Séparateur[[#This Row],[Qc (sm3/j)]]/(Séparateur[[#This Row],[Qg (Msm3/j)]]*1000))*1000000</f>
        <v>6.3092622927924893</v>
      </c>
      <c r="Q78" s="46">
        <v>0.745</v>
      </c>
      <c r="R78" s="46">
        <v>0.67</v>
      </c>
      <c r="S78" s="34">
        <v>2.93</v>
      </c>
    </row>
    <row r="79" spans="1:19" x14ac:dyDescent="0.25">
      <c r="A79" s="6">
        <v>17</v>
      </c>
      <c r="B79" s="7" t="s">
        <v>258</v>
      </c>
      <c r="C79" s="8">
        <v>45344</v>
      </c>
      <c r="D79" s="7">
        <v>2140</v>
      </c>
      <c r="E79" s="42">
        <v>459.05</v>
      </c>
      <c r="F79" s="10">
        <v>3.2</v>
      </c>
      <c r="G79" s="10">
        <v>0.36</v>
      </c>
      <c r="H79" s="10">
        <v>49.227188132016764</v>
      </c>
      <c r="I79" s="10">
        <v>61.683333333333337</v>
      </c>
      <c r="J79" s="10">
        <v>88.5</v>
      </c>
      <c r="K79" s="10">
        <v>59.135643840092797</v>
      </c>
      <c r="L79" s="6" t="s">
        <v>68</v>
      </c>
      <c r="M79" s="6" t="s">
        <v>298</v>
      </c>
      <c r="N79" s="11" t="str">
        <f>VLOOKUP(Séparateur[[#This Row],[Puits]],Puits!$A$1:$F$267,3,FALSE)</f>
        <v>Centre</v>
      </c>
      <c r="O79" s="34">
        <f>(Séparateur[[#This Row],[Qw (sm3/j)]]/(Séparateur[[#This Row],[Qg (Msm3/j)]]*1000))*1000000</f>
        <v>0.78422829757107071</v>
      </c>
      <c r="P79" s="34">
        <f>(Séparateur[[#This Row],[Qc (sm3/j)]]/(Séparateur[[#This Row],[Qg (Msm3/j)]]*1000))*1000000</f>
        <v>6.9709182006317398</v>
      </c>
      <c r="Q79" s="46">
        <v>0.74299999999999999</v>
      </c>
      <c r="R79" s="46">
        <v>0.67</v>
      </c>
      <c r="S79" s="34">
        <v>2.98</v>
      </c>
    </row>
    <row r="80" spans="1:19" x14ac:dyDescent="0.25">
      <c r="A80" s="6">
        <v>18</v>
      </c>
      <c r="B80" s="7" t="s">
        <v>253</v>
      </c>
      <c r="C80" s="8">
        <v>45344</v>
      </c>
      <c r="D80" s="7">
        <v>2150</v>
      </c>
      <c r="E80" s="42">
        <v>341.63200000000001</v>
      </c>
      <c r="F80" s="10">
        <v>5.86</v>
      </c>
      <c r="G80" s="10">
        <v>0.52</v>
      </c>
      <c r="H80" s="10">
        <v>38.059060266216491</v>
      </c>
      <c r="I80" s="10">
        <v>57.222222222222221</v>
      </c>
      <c r="J80" s="10">
        <v>85.885999999999996</v>
      </c>
      <c r="K80" s="10">
        <v>53.922862587507112</v>
      </c>
      <c r="L80" s="6" t="s">
        <v>67</v>
      </c>
      <c r="M80" s="6" t="s">
        <v>298</v>
      </c>
      <c r="N80" s="11" t="str">
        <f>VLOOKUP(Séparateur[[#This Row],[Puits]],Puits!$A$1:$F$267,3,FALSE)</f>
        <v>Centre</v>
      </c>
      <c r="O80" s="34">
        <f>(Séparateur[[#This Row],[Qw (sm3/j)]]/(Séparateur[[#This Row],[Qg (Msm3/j)]]*1000))*1000000</f>
        <v>1.5221056575496441</v>
      </c>
      <c r="P80" s="34">
        <f>(Séparateur[[#This Row],[Qc (sm3/j)]]/(Séparateur[[#This Row],[Qg (Msm3/j)]]*1000))*1000000</f>
        <v>17.152959910078682</v>
      </c>
      <c r="Q80" s="46">
        <v>0.71899999999999997</v>
      </c>
      <c r="R80" s="46">
        <v>0.66400000000000003</v>
      </c>
      <c r="S80" s="34">
        <v>1</v>
      </c>
    </row>
    <row r="81" spans="1:19" x14ac:dyDescent="0.25">
      <c r="A81" s="6">
        <v>18</v>
      </c>
      <c r="B81" s="7" t="s">
        <v>253</v>
      </c>
      <c r="C81" s="8">
        <v>45345</v>
      </c>
      <c r="D81" s="7">
        <v>2150</v>
      </c>
      <c r="E81" s="42">
        <v>280.52100000000002</v>
      </c>
      <c r="F81" s="10">
        <v>4.78</v>
      </c>
      <c r="G81" s="10">
        <v>0.78</v>
      </c>
      <c r="H81" s="10">
        <v>43.919603966630262</v>
      </c>
      <c r="I81" s="10">
        <v>52.777777777777779</v>
      </c>
      <c r="J81" s="10">
        <v>87.200999999999993</v>
      </c>
      <c r="K81" s="10">
        <v>57.905894929027149</v>
      </c>
      <c r="L81" s="6" t="s">
        <v>67</v>
      </c>
      <c r="M81" s="6" t="s">
        <v>298</v>
      </c>
      <c r="N81" s="11" t="str">
        <f>VLOOKUP(Séparateur[[#This Row],[Puits]],Puits!$A$1:$F$267,3,FALSE)</f>
        <v>Centre</v>
      </c>
      <c r="O81" s="34">
        <f>(Séparateur[[#This Row],[Qw (sm3/j)]]/(Séparateur[[#This Row],[Qg (Msm3/j)]]*1000))*1000000</f>
        <v>2.7805404942945446</v>
      </c>
      <c r="P81" s="34">
        <f>(Séparateur[[#This Row],[Qc (sm3/j)]]/(Séparateur[[#This Row],[Qg (Msm3/j)]]*1000))*1000000</f>
        <v>17.039722516317852</v>
      </c>
      <c r="Q81" s="46">
        <v>0.71099999999999997</v>
      </c>
      <c r="R81" s="46">
        <v>0.66400000000000003</v>
      </c>
      <c r="S81" s="34">
        <v>0.53</v>
      </c>
    </row>
    <row r="82" spans="1:19" x14ac:dyDescent="0.25">
      <c r="A82" s="6">
        <v>18</v>
      </c>
      <c r="B82" s="7" t="s">
        <v>253</v>
      </c>
      <c r="C82" s="8">
        <v>45345</v>
      </c>
      <c r="D82" s="7">
        <v>2150</v>
      </c>
      <c r="E82" s="42">
        <v>208.72900000000001</v>
      </c>
      <c r="F82" s="10">
        <v>4.0599999999999996</v>
      </c>
      <c r="G82" s="10">
        <v>0.64</v>
      </c>
      <c r="H82" s="10">
        <v>50.607518542396569</v>
      </c>
      <c r="I82" s="10">
        <v>48.888888888888893</v>
      </c>
      <c r="J82" s="10">
        <v>88.668999999999997</v>
      </c>
      <c r="K82" s="10">
        <v>63.004636895960076</v>
      </c>
      <c r="L82" s="6" t="s">
        <v>67</v>
      </c>
      <c r="M82" s="6" t="s">
        <v>298</v>
      </c>
      <c r="N82" s="11" t="str">
        <f>VLOOKUP(Séparateur[[#This Row],[Puits]],Puits!$A$1:$F$267,3,FALSE)</f>
        <v>Centre</v>
      </c>
      <c r="O82" s="34">
        <f>(Séparateur[[#This Row],[Qw (sm3/j)]]/(Séparateur[[#This Row],[Qg (Msm3/j)]]*1000))*1000000</f>
        <v>3.0661767171787342</v>
      </c>
      <c r="P82" s="34">
        <f>(Séparateur[[#This Row],[Qc (sm3/j)]]/(Séparateur[[#This Row],[Qg (Msm3/j)]]*1000))*1000000</f>
        <v>19.451058549602593</v>
      </c>
      <c r="Q82" s="46">
        <v>0.71499999999999997</v>
      </c>
      <c r="R82" s="46">
        <v>0.66400000000000003</v>
      </c>
      <c r="S82" s="34">
        <v>0</v>
      </c>
    </row>
    <row r="83" spans="1:19" x14ac:dyDescent="0.25">
      <c r="A83" s="6">
        <v>19</v>
      </c>
      <c r="B83" s="7" t="s">
        <v>212</v>
      </c>
      <c r="C83" s="8">
        <v>45345</v>
      </c>
      <c r="D83" s="7">
        <v>2110</v>
      </c>
      <c r="E83" s="42">
        <v>773.95500000000004</v>
      </c>
      <c r="F83" s="10">
        <v>5.36</v>
      </c>
      <c r="G83" s="10">
        <v>0.56000000000000005</v>
      </c>
      <c r="H83" s="10">
        <v>43.643813674846086</v>
      </c>
      <c r="I83" s="10">
        <v>57.777777777777779</v>
      </c>
      <c r="J83" s="10">
        <v>83.9</v>
      </c>
      <c r="K83" s="10">
        <v>54.63612522963394</v>
      </c>
      <c r="L83" s="6" t="s">
        <v>67</v>
      </c>
      <c r="M83" s="6" t="s">
        <v>298</v>
      </c>
      <c r="N83" s="11" t="str">
        <f>VLOOKUP(Séparateur[[#This Row],[Puits]],Puits!$A$1:$F$267,3,FALSE)</f>
        <v>Centre</v>
      </c>
      <c r="O83" s="34">
        <f>(Séparateur[[#This Row],[Qw (sm3/j)]]/(Séparateur[[#This Row],[Qg (Msm3/j)]]*1000))*1000000</f>
        <v>0.72355627911183473</v>
      </c>
      <c r="P83" s="34">
        <f>(Séparateur[[#This Row],[Qc (sm3/j)]]/(Séparateur[[#This Row],[Qg (Msm3/j)]]*1000))*1000000</f>
        <v>6.925467242927561</v>
      </c>
      <c r="Q83" s="46">
        <v>0.754</v>
      </c>
      <c r="R83" s="46">
        <v>0.67200000000000004</v>
      </c>
      <c r="S83" s="34">
        <v>3.7440000000000002</v>
      </c>
    </row>
    <row r="84" spans="1:19" x14ac:dyDescent="0.25">
      <c r="A84" s="6">
        <v>19</v>
      </c>
      <c r="B84" s="7" t="s">
        <v>212</v>
      </c>
      <c r="C84" s="8">
        <v>45345</v>
      </c>
      <c r="D84" s="7">
        <v>2110</v>
      </c>
      <c r="E84" s="42">
        <v>622.68200000000002</v>
      </c>
      <c r="F84" s="10">
        <v>4.08</v>
      </c>
      <c r="G84" s="10">
        <v>0.48</v>
      </c>
      <c r="H84" s="10">
        <v>48.401196208123146</v>
      </c>
      <c r="I84" s="10">
        <v>57.222222222222221</v>
      </c>
      <c r="J84" s="10">
        <v>85</v>
      </c>
      <c r="K84" s="10">
        <v>58.597852771113651</v>
      </c>
      <c r="L84" s="6" t="s">
        <v>67</v>
      </c>
      <c r="M84" s="6" t="s">
        <v>298</v>
      </c>
      <c r="N84" s="11" t="str">
        <f>VLOOKUP(Séparateur[[#This Row],[Puits]],Puits!$A$1:$F$267,3,FALSE)</f>
        <v>Centre</v>
      </c>
      <c r="O84" s="34">
        <f>(Séparateur[[#This Row],[Qw (sm3/j)]]/(Séparateur[[#This Row],[Qg (Msm3/j)]]*1000))*1000000</f>
        <v>0.7708589617172168</v>
      </c>
      <c r="P84" s="34">
        <f>(Séparateur[[#This Row],[Qc (sm3/j)]]/(Séparateur[[#This Row],[Qg (Msm3/j)]]*1000))*1000000</f>
        <v>6.5523011745963426</v>
      </c>
      <c r="Q84" s="46">
        <v>0.76100000000000001</v>
      </c>
      <c r="R84" s="46">
        <v>0.66800000000000004</v>
      </c>
      <c r="S84" s="34">
        <v>0</v>
      </c>
    </row>
    <row r="85" spans="1:19" x14ac:dyDescent="0.25">
      <c r="A85" s="6">
        <v>19</v>
      </c>
      <c r="B85" s="7" t="s">
        <v>212</v>
      </c>
      <c r="C85" s="8">
        <v>45346</v>
      </c>
      <c r="D85" s="7">
        <v>2110</v>
      </c>
      <c r="E85" s="42">
        <v>469.81599999999997</v>
      </c>
      <c r="F85" s="10">
        <v>3.6</v>
      </c>
      <c r="G85" s="10">
        <v>0.4</v>
      </c>
      <c r="H85" s="10">
        <v>52.262260293101633</v>
      </c>
      <c r="I85" s="10">
        <v>51.111111111111114</v>
      </c>
      <c r="J85" s="10">
        <v>85.9</v>
      </c>
      <c r="K85" s="10">
        <v>61.876999340427524</v>
      </c>
      <c r="L85" s="6" t="s">
        <v>67</v>
      </c>
      <c r="M85" s="6" t="s">
        <v>298</v>
      </c>
      <c r="N85" s="11" t="str">
        <f>VLOOKUP(Séparateur[[#This Row],[Puits]],Puits!$A$1:$F$267,3,FALSE)</f>
        <v>Centre</v>
      </c>
      <c r="O85" s="34">
        <f>(Séparateur[[#This Row],[Qw (sm3/j)]]/(Séparateur[[#This Row],[Qg (Msm3/j)]]*1000))*1000000</f>
        <v>0.85139714271118916</v>
      </c>
      <c r="P85" s="34">
        <f>(Séparateur[[#This Row],[Qc (sm3/j)]]/(Séparateur[[#This Row],[Qg (Msm3/j)]]*1000))*1000000</f>
        <v>7.6625742844007014</v>
      </c>
      <c r="Q85" s="46">
        <v>0.76600000000000001</v>
      </c>
      <c r="R85" s="46">
        <v>0.68200000000000005</v>
      </c>
      <c r="S85" s="34">
        <v>0</v>
      </c>
    </row>
    <row r="86" spans="1:19" x14ac:dyDescent="0.25">
      <c r="A86" s="6">
        <v>20</v>
      </c>
      <c r="B86" s="7" t="s">
        <v>243</v>
      </c>
      <c r="C86" s="8">
        <v>45346</v>
      </c>
      <c r="D86" s="7">
        <v>2120</v>
      </c>
      <c r="E86" s="42">
        <v>410.30700000000002</v>
      </c>
      <c r="F86" s="10">
        <v>1.48</v>
      </c>
      <c r="G86" s="10">
        <v>0.2</v>
      </c>
      <c r="H86" s="10">
        <v>38.610640849784851</v>
      </c>
      <c r="I86" s="10">
        <v>56.666666666666671</v>
      </c>
      <c r="J86" s="10">
        <v>85.686000000000007</v>
      </c>
      <c r="K86" s="10">
        <v>60.895116954102896</v>
      </c>
      <c r="L86" s="6" t="s">
        <v>67</v>
      </c>
      <c r="M86" s="6" t="s">
        <v>298</v>
      </c>
      <c r="N86" s="11" t="str">
        <f>VLOOKUP(Séparateur[[#This Row],[Puits]],Puits!$A$1:$F$267,3,FALSE)</f>
        <v>Centre</v>
      </c>
      <c r="O86" s="34">
        <f>(Séparateur[[#This Row],[Qw (sm3/j)]]/(Séparateur[[#This Row],[Qg (Msm3/j)]]*1000))*1000000</f>
        <v>0.48743989256824766</v>
      </c>
      <c r="P86" s="34">
        <f>(Séparateur[[#This Row],[Qc (sm3/j)]]/(Séparateur[[#This Row],[Qg (Msm3/j)]]*1000))*1000000</f>
        <v>3.6070552050050328</v>
      </c>
      <c r="Q86" s="46">
        <v>0.72199999999999998</v>
      </c>
      <c r="R86" s="46">
        <v>0.67</v>
      </c>
      <c r="S86" s="34">
        <v>0</v>
      </c>
    </row>
    <row r="87" spans="1:19" x14ac:dyDescent="0.25">
      <c r="A87" s="6">
        <v>20</v>
      </c>
      <c r="B87" s="7" t="s">
        <v>243</v>
      </c>
      <c r="C87" s="8">
        <v>45347</v>
      </c>
      <c r="D87" s="7">
        <v>2120</v>
      </c>
      <c r="E87" s="42">
        <v>320.64299999999997</v>
      </c>
      <c r="F87" s="10">
        <v>1.1160000000000001</v>
      </c>
      <c r="G87" s="10">
        <v>0.52</v>
      </c>
      <c r="H87" s="10">
        <v>45.367502998497194</v>
      </c>
      <c r="I87" s="10">
        <v>56.666666666666671</v>
      </c>
      <c r="J87" s="10">
        <v>86.638000000000005</v>
      </c>
      <c r="K87" s="10">
        <v>63.647366170963096</v>
      </c>
      <c r="L87" s="6" t="s">
        <v>67</v>
      </c>
      <c r="M87" s="6" t="s">
        <v>298</v>
      </c>
      <c r="N87" s="11" t="str">
        <f>VLOOKUP(Séparateur[[#This Row],[Puits]],Puits!$A$1:$F$267,3,FALSE)</f>
        <v>Centre</v>
      </c>
      <c r="O87" s="34">
        <f>(Séparateur[[#This Row],[Qw (sm3/j)]]/(Séparateur[[#This Row],[Qg (Msm3/j)]]*1000))*1000000</f>
        <v>1.6217413135480894</v>
      </c>
      <c r="P87" s="34">
        <f>(Séparateur[[#This Row],[Qc (sm3/j)]]/(Séparateur[[#This Row],[Qg (Msm3/j)]]*1000))*1000000</f>
        <v>3.4805063575378226</v>
      </c>
      <c r="Q87" s="46">
        <v>0.72699999999999998</v>
      </c>
      <c r="R87" s="46">
        <v>0.67</v>
      </c>
      <c r="S87" s="34">
        <v>0</v>
      </c>
    </row>
    <row r="88" spans="1:19" x14ac:dyDescent="0.25">
      <c r="A88" s="6">
        <v>20</v>
      </c>
      <c r="B88" s="7" t="s">
        <v>243</v>
      </c>
      <c r="C88" s="8">
        <v>45347</v>
      </c>
      <c r="D88" s="7">
        <v>2120</v>
      </c>
      <c r="E88" s="42">
        <v>244.09800000000001</v>
      </c>
      <c r="F88" s="10">
        <v>0.74</v>
      </c>
      <c r="G88" s="10">
        <v>0.08</v>
      </c>
      <c r="H88" s="10">
        <v>52.813840876669985</v>
      </c>
      <c r="I88" s="10">
        <v>58.333333333333336</v>
      </c>
      <c r="J88" s="10">
        <v>87.61</v>
      </c>
      <c r="K88" s="10">
        <v>67.144869703797099</v>
      </c>
      <c r="L88" s="6" t="s">
        <v>67</v>
      </c>
      <c r="M88" s="6" t="s">
        <v>298</v>
      </c>
      <c r="N88" s="11" t="str">
        <f>VLOOKUP(Séparateur[[#This Row],[Puits]],Puits!$A$1:$F$267,3,FALSE)</f>
        <v>Centre</v>
      </c>
      <c r="O88" s="34">
        <f>(Séparateur[[#This Row],[Qw (sm3/j)]]/(Séparateur[[#This Row],[Qg (Msm3/j)]]*1000))*1000000</f>
        <v>0.32773722029676605</v>
      </c>
      <c r="P88" s="34">
        <f>(Séparateur[[#This Row],[Qc (sm3/j)]]/(Séparateur[[#This Row],[Qg (Msm3/j)]]*1000))*1000000</f>
        <v>3.0315692877450857</v>
      </c>
      <c r="Q88" s="46">
        <v>0.72699999999999998</v>
      </c>
      <c r="R88" s="46">
        <v>0.67</v>
      </c>
      <c r="S88" s="34">
        <v>0</v>
      </c>
    </row>
    <row r="89" spans="1:19" x14ac:dyDescent="0.25">
      <c r="A89" s="6">
        <v>21</v>
      </c>
      <c r="B89" s="7" t="s">
        <v>205</v>
      </c>
      <c r="C89" s="8">
        <v>45347</v>
      </c>
      <c r="D89" s="7">
        <v>2130</v>
      </c>
      <c r="E89" s="42">
        <v>970.1</v>
      </c>
      <c r="F89" s="10">
        <v>10.08</v>
      </c>
      <c r="G89" s="10">
        <v>0.8</v>
      </c>
      <c r="H89" s="10">
        <v>44.884869987874886</v>
      </c>
      <c r="I89" s="10">
        <v>58.888888888888893</v>
      </c>
      <c r="J89" s="10">
        <v>88.8</v>
      </c>
      <c r="K89" s="10">
        <v>58.569584266205773</v>
      </c>
      <c r="L89" s="6" t="s">
        <v>67</v>
      </c>
      <c r="M89" s="6" t="s">
        <v>298</v>
      </c>
      <c r="N89" s="11" t="str">
        <f>VLOOKUP(Séparateur[[#This Row],[Puits]],Puits!$A$1:$F$267,3,FALSE)</f>
        <v>Centre</v>
      </c>
      <c r="O89" s="34">
        <f>(Séparateur[[#This Row],[Qw (sm3/j)]]/(Séparateur[[#This Row],[Qg (Msm3/j)]]*1000))*1000000</f>
        <v>0.82465725182970828</v>
      </c>
      <c r="P89" s="34">
        <f>(Séparateur[[#This Row],[Qc (sm3/j)]]/(Séparateur[[#This Row],[Qg (Msm3/j)]]*1000))*1000000</f>
        <v>10.390681373054324</v>
      </c>
      <c r="Q89" s="46">
        <v>0.751</v>
      </c>
      <c r="R89" s="46">
        <v>0.66800000000000004</v>
      </c>
      <c r="S89" s="34">
        <v>7.37</v>
      </c>
    </row>
    <row r="90" spans="1:19" x14ac:dyDescent="0.25">
      <c r="A90" s="6">
        <v>21</v>
      </c>
      <c r="B90" s="7" t="s">
        <v>205</v>
      </c>
      <c r="C90" s="8">
        <v>45347</v>
      </c>
      <c r="D90" s="7">
        <v>2130</v>
      </c>
      <c r="E90" s="42">
        <v>736.197</v>
      </c>
      <c r="F90" s="10">
        <v>8.16</v>
      </c>
      <c r="G90" s="10">
        <v>0.72</v>
      </c>
      <c r="H90" s="10">
        <v>50.607518542396569</v>
      </c>
      <c r="I90" s="10">
        <v>63.333333333333336</v>
      </c>
      <c r="J90" s="10">
        <v>89.9</v>
      </c>
      <c r="K90" s="10">
        <v>62.460295807551056</v>
      </c>
      <c r="L90" s="6" t="s">
        <v>68</v>
      </c>
      <c r="M90" s="6" t="s">
        <v>298</v>
      </c>
      <c r="N90" s="11" t="str">
        <f>VLOOKUP(Séparateur[[#This Row],[Puits]],Puits!$A$1:$F$267,3,FALSE)</f>
        <v>Centre</v>
      </c>
      <c r="O90" s="34">
        <f>(Séparateur[[#This Row],[Qw (sm3/j)]]/(Séparateur[[#This Row],[Qg (Msm3/j)]]*1000))*1000000</f>
        <v>0.97799909535083684</v>
      </c>
      <c r="P90" s="34">
        <f>(Séparateur[[#This Row],[Qc (sm3/j)]]/(Séparateur[[#This Row],[Qg (Msm3/j)]]*1000))*1000000</f>
        <v>11.083989747309484</v>
      </c>
      <c r="Q90" s="46">
        <v>0.745</v>
      </c>
      <c r="R90" s="46">
        <v>0.66800000000000004</v>
      </c>
      <c r="S90" s="34">
        <v>4.8</v>
      </c>
    </row>
    <row r="91" spans="1:19" x14ac:dyDescent="0.25">
      <c r="A91" s="6">
        <v>21</v>
      </c>
      <c r="B91" s="7" t="s">
        <v>205</v>
      </c>
      <c r="C91" s="8">
        <v>45347</v>
      </c>
      <c r="D91" s="7">
        <v>2130</v>
      </c>
      <c r="E91" s="42">
        <v>527.41999999999996</v>
      </c>
      <c r="F91" s="10">
        <v>6.24</v>
      </c>
      <c r="G91" s="10">
        <v>0.48</v>
      </c>
      <c r="H91" s="10">
        <v>54.192792335590873</v>
      </c>
      <c r="I91" s="10">
        <v>63.333333333333336</v>
      </c>
      <c r="J91" s="10">
        <v>90.6</v>
      </c>
      <c r="K91" s="10">
        <v>65.10650365722023</v>
      </c>
      <c r="L91" s="6" t="s">
        <v>67</v>
      </c>
      <c r="M91" s="6" t="s">
        <v>298</v>
      </c>
      <c r="N91" s="11" t="str">
        <f>VLOOKUP(Séparateur[[#This Row],[Puits]],Puits!$A$1:$F$267,3,FALSE)</f>
        <v>Centre</v>
      </c>
      <c r="O91" s="34">
        <f>(Séparateur[[#This Row],[Qw (sm3/j)]]/(Séparateur[[#This Row],[Qg (Msm3/j)]]*1000))*1000000</f>
        <v>0.91009062985855671</v>
      </c>
      <c r="P91" s="34">
        <f>(Séparateur[[#This Row],[Qc (sm3/j)]]/(Séparateur[[#This Row],[Qg (Msm3/j)]]*1000))*1000000</f>
        <v>11.831178188161239</v>
      </c>
      <c r="Q91" s="46">
        <v>0.745</v>
      </c>
      <c r="R91" s="46">
        <v>0.66800000000000004</v>
      </c>
      <c r="S91" s="34">
        <v>0</v>
      </c>
    </row>
    <row r="92" spans="1:19" x14ac:dyDescent="0.25">
      <c r="A92" s="6">
        <v>22</v>
      </c>
      <c r="B92" s="7" t="s">
        <v>265</v>
      </c>
      <c r="C92" s="8">
        <v>45349</v>
      </c>
      <c r="D92" s="7">
        <v>2120</v>
      </c>
      <c r="E92" s="42">
        <v>754.62400000000002</v>
      </c>
      <c r="F92" s="10">
        <v>3.44</v>
      </c>
      <c r="G92" s="10">
        <v>1.44</v>
      </c>
      <c r="H92" s="10">
        <v>40.748015611112223</v>
      </c>
      <c r="I92" s="10"/>
      <c r="J92" s="10">
        <v>88.523400000000009</v>
      </c>
      <c r="K92" s="10">
        <v>68.086004074510598</v>
      </c>
      <c r="L92" s="6" t="s">
        <v>67</v>
      </c>
      <c r="M92" s="6" t="s">
        <v>303</v>
      </c>
      <c r="N92" s="11" t="str">
        <f>VLOOKUP(Séparateur[[#This Row],[Puits]],Puits!$A$1:$F$267,3,FALSE)</f>
        <v>Centre</v>
      </c>
      <c r="O92" s="34">
        <f>(Séparateur[[#This Row],[Qw (sm3/j)]]/(Séparateur[[#This Row],[Qg (Msm3/j)]]*1000))*1000000</f>
        <v>1.9082350945636504</v>
      </c>
      <c r="P92" s="34">
        <f>(Séparateur[[#This Row],[Qc (sm3/j)]]/(Séparateur[[#This Row],[Qg (Msm3/j)]]*1000))*1000000</f>
        <v>4.5585616147909418</v>
      </c>
      <c r="Q92" s="46">
        <v>0.77700000000000002</v>
      </c>
      <c r="R92" s="46">
        <v>0.68200000000000005</v>
      </c>
      <c r="S92" s="34">
        <v>0</v>
      </c>
    </row>
    <row r="93" spans="1:19" x14ac:dyDescent="0.25">
      <c r="A93" s="6">
        <v>22</v>
      </c>
      <c r="B93" s="7" t="s">
        <v>265</v>
      </c>
      <c r="C93" s="8">
        <v>45349</v>
      </c>
      <c r="D93" s="7">
        <v>2120</v>
      </c>
      <c r="E93" s="42">
        <v>563.60799999999995</v>
      </c>
      <c r="F93" s="10">
        <v>3</v>
      </c>
      <c r="G93" s="10">
        <v>1.2</v>
      </c>
      <c r="H93" s="10">
        <v>49.849095239990078</v>
      </c>
      <c r="I93" s="10"/>
      <c r="J93" s="10">
        <v>88.823400000000007</v>
      </c>
      <c r="K93" s="10">
        <v>69.02782792095357</v>
      </c>
      <c r="L93" s="6" t="s">
        <v>68</v>
      </c>
      <c r="M93" s="6" t="s">
        <v>303</v>
      </c>
      <c r="N93" s="11" t="str">
        <f>VLOOKUP(Séparateur[[#This Row],[Puits]],Puits!$A$1:$F$267,3,FALSE)</f>
        <v>Centre</v>
      </c>
      <c r="O93" s="34">
        <f>(Séparateur[[#This Row],[Qw (sm3/j)]]/(Séparateur[[#This Row],[Qg (Msm3/j)]]*1000))*1000000</f>
        <v>2.1291394018537706</v>
      </c>
      <c r="P93" s="34">
        <f>(Séparateur[[#This Row],[Qc (sm3/j)]]/(Séparateur[[#This Row],[Qg (Msm3/j)]]*1000))*1000000</f>
        <v>5.3228485046344263</v>
      </c>
      <c r="Q93" s="46">
        <v>0.77</v>
      </c>
      <c r="R93" s="46">
        <v>0.68200000000000005</v>
      </c>
      <c r="S93" s="34">
        <v>0</v>
      </c>
    </row>
    <row r="94" spans="1:19" x14ac:dyDescent="0.25">
      <c r="A94" s="6">
        <v>22</v>
      </c>
      <c r="B94" s="7" t="s">
        <v>265</v>
      </c>
      <c r="C94" s="8">
        <v>45349</v>
      </c>
      <c r="D94" s="7">
        <v>2120</v>
      </c>
      <c r="E94" s="42">
        <v>372.07900000000001</v>
      </c>
      <c r="F94" s="10">
        <v>2.16</v>
      </c>
      <c r="G94" s="10">
        <v>0.36</v>
      </c>
      <c r="H94" s="10">
        <v>55.985429232188032</v>
      </c>
      <c r="I94" s="10"/>
      <c r="J94" s="10">
        <v>88.923400000000001</v>
      </c>
      <c r="K94" s="10">
        <v>69.787630174818986</v>
      </c>
      <c r="L94" s="6" t="s">
        <v>67</v>
      </c>
      <c r="M94" s="6" t="s">
        <v>303</v>
      </c>
      <c r="N94" s="11" t="str">
        <f>VLOOKUP(Séparateur[[#This Row],[Puits]],Puits!$A$1:$F$267,3,FALSE)</f>
        <v>Centre</v>
      </c>
      <c r="O94" s="34">
        <f>(Séparateur[[#This Row],[Qw (sm3/j)]]/(Séparateur[[#This Row],[Qg (Msm3/j)]]*1000))*1000000</f>
        <v>0.9675364640304881</v>
      </c>
      <c r="P94" s="34">
        <f>(Séparateur[[#This Row],[Qc (sm3/j)]]/(Séparateur[[#This Row],[Qg (Msm3/j)]]*1000))*1000000</f>
        <v>5.8052187841829292</v>
      </c>
      <c r="Q94" s="46">
        <v>0.77100000000000002</v>
      </c>
      <c r="R94" s="46">
        <v>0.68400000000000005</v>
      </c>
      <c r="S94" s="34">
        <v>0</v>
      </c>
    </row>
    <row r="95" spans="1:19" x14ac:dyDescent="0.25">
      <c r="A95" s="6">
        <v>23</v>
      </c>
      <c r="B95" s="7" t="s">
        <v>131</v>
      </c>
      <c r="C95" s="8">
        <v>45349</v>
      </c>
      <c r="D95" s="7">
        <v>2050</v>
      </c>
      <c r="E95" s="42">
        <v>466.03899999999999</v>
      </c>
      <c r="F95" s="10">
        <v>7.75</v>
      </c>
      <c r="G95" s="10">
        <v>0.52</v>
      </c>
      <c r="H95" s="10">
        <v>40.816963184058267</v>
      </c>
      <c r="I95" s="10">
        <v>59.44444444444445</v>
      </c>
      <c r="J95" s="10">
        <v>84.977999999999994</v>
      </c>
      <c r="K95" s="10">
        <v>51.10552686178584</v>
      </c>
      <c r="L95" s="6" t="s">
        <v>67</v>
      </c>
      <c r="M95" s="6" t="s">
        <v>297</v>
      </c>
      <c r="N95" s="11" t="str">
        <f>VLOOKUP(Séparateur[[#This Row],[Puits]],Puits!$A$1:$F$267,3,FALSE)</f>
        <v>Centre</v>
      </c>
      <c r="O95" s="34">
        <f>(Séparateur[[#This Row],[Qw (sm3/j)]]/(Séparateur[[#This Row],[Qg (Msm3/j)]]*1000))*1000000</f>
        <v>1.115786447057006</v>
      </c>
      <c r="P95" s="34">
        <f>(Séparateur[[#This Row],[Qc (sm3/j)]]/(Séparateur[[#This Row],[Qg (Msm3/j)]]*1000))*1000000</f>
        <v>16.629509547484222</v>
      </c>
      <c r="Q95" s="46">
        <v>0.74399999999999999</v>
      </c>
      <c r="R95" s="46">
        <v>0.67</v>
      </c>
      <c r="S95" s="34">
        <v>0</v>
      </c>
    </row>
    <row r="96" spans="1:19" x14ac:dyDescent="0.25">
      <c r="A96" s="6">
        <v>23</v>
      </c>
      <c r="B96" s="7" t="s">
        <v>131</v>
      </c>
      <c r="C96" s="8">
        <v>45349</v>
      </c>
      <c r="D96" s="7">
        <v>2050</v>
      </c>
      <c r="E96" s="42">
        <v>362.42200000000003</v>
      </c>
      <c r="F96" s="10">
        <v>4.7699999999999996</v>
      </c>
      <c r="G96" s="10">
        <v>0.4</v>
      </c>
      <c r="H96" s="10">
        <v>47.573825332770618</v>
      </c>
      <c r="I96" s="10">
        <v>55</v>
      </c>
      <c r="J96" s="10">
        <v>86.572000000000003</v>
      </c>
      <c r="K96" s="10">
        <v>57.352383813416303</v>
      </c>
      <c r="L96" s="6" t="s">
        <v>67</v>
      </c>
      <c r="M96" s="6" t="s">
        <v>297</v>
      </c>
      <c r="N96" s="11" t="str">
        <f>VLOOKUP(Séparateur[[#This Row],[Puits]],Puits!$A$1:$F$267,3,FALSE)</f>
        <v>Centre</v>
      </c>
      <c r="O96" s="34">
        <f>(Séparateur[[#This Row],[Qw (sm3/j)]]/(Séparateur[[#This Row],[Qg (Msm3/j)]]*1000))*1000000</f>
        <v>1.103685758590814</v>
      </c>
      <c r="P96" s="34">
        <f>(Séparateur[[#This Row],[Qc (sm3/j)]]/(Séparateur[[#This Row],[Qg (Msm3/j)]]*1000))*1000000</f>
        <v>13.161452671195457</v>
      </c>
      <c r="Q96" s="46">
        <v>0.73899999999999999</v>
      </c>
      <c r="R96" s="46">
        <v>0.67</v>
      </c>
      <c r="S96" s="34">
        <v>0</v>
      </c>
    </row>
    <row r="97" spans="1:19" x14ac:dyDescent="0.25">
      <c r="A97" s="6">
        <v>23</v>
      </c>
      <c r="B97" s="7" t="s">
        <v>131</v>
      </c>
      <c r="C97" s="8">
        <v>44985</v>
      </c>
      <c r="D97" s="7">
        <v>2050</v>
      </c>
      <c r="E97" s="42">
        <v>235.523</v>
      </c>
      <c r="F97" s="10">
        <v>1.488</v>
      </c>
      <c r="G97" s="10">
        <v>0.2</v>
      </c>
      <c r="H97" s="10">
        <v>53.917002043806697</v>
      </c>
      <c r="I97" s="10">
        <v>50</v>
      </c>
      <c r="J97" s="10">
        <v>87.516999999999996</v>
      </c>
      <c r="K97" s="10">
        <v>63.774505495475609</v>
      </c>
      <c r="L97" s="6" t="s">
        <v>67</v>
      </c>
      <c r="M97" s="6" t="s">
        <v>297</v>
      </c>
      <c r="N97" s="11" t="str">
        <f>VLOOKUP(Séparateur[[#This Row],[Puits]],Puits!$A$1:$F$267,3,FALSE)</f>
        <v>Centre</v>
      </c>
      <c r="O97" s="34">
        <f>(Séparateur[[#This Row],[Qw (sm3/j)]]/(Séparateur[[#This Row],[Qg (Msm3/j)]]*1000))*1000000</f>
        <v>0.84917396602454964</v>
      </c>
      <c r="P97" s="34">
        <f>(Séparateur[[#This Row],[Qc (sm3/j)]]/(Séparateur[[#This Row],[Qg (Msm3/j)]]*1000))*1000000</f>
        <v>6.3178543072226487</v>
      </c>
      <c r="Q97" s="46">
        <v>0.72199999999999998</v>
      </c>
      <c r="R97" s="46">
        <v>0.67</v>
      </c>
      <c r="S97" s="34">
        <v>0</v>
      </c>
    </row>
    <row r="98" spans="1:19" x14ac:dyDescent="0.25">
      <c r="A98" s="6">
        <v>24</v>
      </c>
      <c r="B98" s="7" t="s">
        <v>156</v>
      </c>
      <c r="C98" s="8">
        <v>45350</v>
      </c>
      <c r="D98" s="7">
        <v>2135</v>
      </c>
      <c r="E98" s="42">
        <v>822.37800000000004</v>
      </c>
      <c r="F98" s="10">
        <v>10</v>
      </c>
      <c r="G98" s="10">
        <v>0.08</v>
      </c>
      <c r="H98" s="10">
        <v>48.056458343392926</v>
      </c>
      <c r="I98" s="10">
        <v>57.777777777777779</v>
      </c>
      <c r="J98" s="10">
        <v>87.825999999999993</v>
      </c>
      <c r="K98" s="10">
        <v>60.678552627479377</v>
      </c>
      <c r="L98" s="6" t="s">
        <v>67</v>
      </c>
      <c r="M98" s="6" t="s">
        <v>298</v>
      </c>
      <c r="N98" s="11" t="str">
        <f>VLOOKUP(Séparateur[[#This Row],[Puits]],Puits!$A$1:$F$267,3,FALSE)</f>
        <v>Centre</v>
      </c>
      <c r="O98" s="34">
        <f>(Séparateur[[#This Row],[Qw (sm3/j)]]/(Séparateur[[#This Row],[Qg (Msm3/j)]]*1000))*1000000</f>
        <v>9.727886689575839E-2</v>
      </c>
      <c r="P98" s="34">
        <f>(Séparateur[[#This Row],[Qc (sm3/j)]]/(Séparateur[[#This Row],[Qg (Msm3/j)]]*1000))*1000000</f>
        <v>12.1598583619698</v>
      </c>
      <c r="Q98" s="46">
        <v>0.76100000000000001</v>
      </c>
      <c r="R98" s="46">
        <v>0.69599999999999995</v>
      </c>
      <c r="S98" s="34">
        <v>0</v>
      </c>
    </row>
    <row r="99" spans="1:19" x14ac:dyDescent="0.25">
      <c r="A99" s="6">
        <v>24</v>
      </c>
      <c r="B99" s="7" t="s">
        <v>156</v>
      </c>
      <c r="C99" s="8">
        <v>45350</v>
      </c>
      <c r="D99" s="7">
        <v>2135</v>
      </c>
      <c r="E99" s="42">
        <v>626.68499999999995</v>
      </c>
      <c r="F99" s="10">
        <v>7.36</v>
      </c>
      <c r="G99" s="10">
        <v>8.6999999999999994E-2</v>
      </c>
      <c r="H99" s="10">
        <v>52.744893303723941</v>
      </c>
      <c r="I99" s="10">
        <v>58.888888888888893</v>
      </c>
      <c r="J99" s="10">
        <v>88.692999999999998</v>
      </c>
      <c r="K99" s="10">
        <v>64.216390490486802</v>
      </c>
      <c r="L99" s="6" t="s">
        <v>67</v>
      </c>
      <c r="M99" s="6" t="s">
        <v>298</v>
      </c>
      <c r="N99" s="11" t="str">
        <f>VLOOKUP(Séparateur[[#This Row],[Puits]],Puits!$A$1:$F$267,3,FALSE)</f>
        <v>Centre</v>
      </c>
      <c r="O99" s="34">
        <f>(Séparateur[[#This Row],[Qw (sm3/j)]]/(Séparateur[[#This Row],[Qg (Msm3/j)]]*1000))*1000000</f>
        <v>0.13882572584312691</v>
      </c>
      <c r="P99" s="34">
        <f>(Séparateur[[#This Row],[Qc (sm3/j)]]/(Séparateur[[#This Row],[Qg (Msm3/j)]]*1000))*1000000</f>
        <v>11.7443372667289</v>
      </c>
      <c r="Q99" s="46">
        <v>0.755</v>
      </c>
      <c r="R99" s="46">
        <v>0.69799999999999995</v>
      </c>
      <c r="S99" s="34">
        <v>0</v>
      </c>
    </row>
    <row r="100" spans="1:19" x14ac:dyDescent="0.25">
      <c r="A100" s="6">
        <v>24</v>
      </c>
      <c r="B100" s="7" t="s">
        <v>156</v>
      </c>
      <c r="C100" s="8">
        <v>45351</v>
      </c>
      <c r="D100" s="7">
        <v>2135</v>
      </c>
      <c r="E100" s="42">
        <v>482.42200000000003</v>
      </c>
      <c r="F100" s="10">
        <v>6.4</v>
      </c>
      <c r="G100" s="10">
        <v>6.9000000000000006E-2</v>
      </c>
      <c r="H100" s="10">
        <v>55.916481659241981</v>
      </c>
      <c r="I100" s="10"/>
      <c r="J100" s="10">
        <v>89.114000000000004</v>
      </c>
      <c r="K100" s="10">
        <v>66.600114929950394</v>
      </c>
      <c r="L100" s="6" t="s">
        <v>67</v>
      </c>
      <c r="M100" s="6" t="s">
        <v>298</v>
      </c>
      <c r="N100" s="11" t="str">
        <f>VLOOKUP(Séparateur[[#This Row],[Puits]],Puits!$A$1:$F$267,3,FALSE)</f>
        <v>Centre</v>
      </c>
      <c r="O100" s="34">
        <f>(Séparateur[[#This Row],[Qw (sm3/j)]]/(Séparateur[[#This Row],[Qg (Msm3/j)]]*1000))*1000000</f>
        <v>0.14302830302100653</v>
      </c>
      <c r="P100" s="34">
        <f>(Séparateur[[#This Row],[Qc (sm3/j)]]/(Séparateur[[#This Row],[Qg (Msm3/j)]]*1000))*1000000</f>
        <v>13.266393323687561</v>
      </c>
      <c r="Q100" s="46">
        <v>0.749</v>
      </c>
      <c r="R100" s="46">
        <v>0.7</v>
      </c>
      <c r="S100" s="34">
        <v>0</v>
      </c>
    </row>
    <row r="101" spans="1:19" x14ac:dyDescent="0.25">
      <c r="A101" s="6">
        <v>25</v>
      </c>
      <c r="B101" s="7" t="s">
        <v>148</v>
      </c>
      <c r="C101" s="8">
        <v>45351</v>
      </c>
      <c r="D101" s="7">
        <v>2035</v>
      </c>
      <c r="E101" s="42">
        <v>345.447</v>
      </c>
      <c r="F101" s="10">
        <v>6.29</v>
      </c>
      <c r="G101" s="10">
        <v>0.48</v>
      </c>
      <c r="H101" s="10">
        <v>38.265902985054623</v>
      </c>
      <c r="I101" s="10">
        <v>56.111111111111114</v>
      </c>
      <c r="J101" s="10">
        <v>86.057000000000002</v>
      </c>
      <c r="K101" s="10">
        <v>46.729493354473355</v>
      </c>
      <c r="L101" s="6" t="s">
        <v>67</v>
      </c>
      <c r="M101" s="6" t="s">
        <v>297</v>
      </c>
      <c r="N101" s="11" t="str">
        <f>VLOOKUP(Séparateur[[#This Row],[Puits]],Puits!$A$1:$F$267,3,FALSE)</f>
        <v>Centre</v>
      </c>
      <c r="O101" s="34">
        <f>(Séparateur[[#This Row],[Qw (sm3/j)]]/(Séparateur[[#This Row],[Qg (Msm3/j)]]*1000))*1000000</f>
        <v>1.3895040339038984</v>
      </c>
      <c r="P101" s="34">
        <f>(Séparateur[[#This Row],[Qc (sm3/j)]]/(Séparateur[[#This Row],[Qg (Msm3/j)]]*1000))*1000000</f>
        <v>18.208292444282336</v>
      </c>
      <c r="Q101" s="46">
        <v>0.73599999999999999</v>
      </c>
      <c r="R101" s="46">
        <v>0.67</v>
      </c>
      <c r="S101" s="34">
        <v>0.70199999999999996</v>
      </c>
    </row>
    <row r="102" spans="1:19" x14ac:dyDescent="0.25">
      <c r="A102" s="6">
        <v>25</v>
      </c>
      <c r="B102" s="7" t="s">
        <v>148</v>
      </c>
      <c r="C102" s="8">
        <v>45351</v>
      </c>
      <c r="D102" s="7">
        <v>2035</v>
      </c>
      <c r="E102" s="42">
        <v>281.75299999999999</v>
      </c>
      <c r="F102" s="10">
        <v>4.7699999999999996</v>
      </c>
      <c r="G102" s="10">
        <v>0.4</v>
      </c>
      <c r="H102" s="10">
        <v>43.436970956007954</v>
      </c>
      <c r="I102" s="10">
        <v>55.555555555555557</v>
      </c>
      <c r="J102" s="10">
        <v>87.35</v>
      </c>
      <c r="K102" s="10">
        <v>51.805206832042302</v>
      </c>
      <c r="L102" s="6" t="s">
        <v>67</v>
      </c>
      <c r="M102" s="6" t="s">
        <v>297</v>
      </c>
      <c r="N102" s="11" t="str">
        <f>VLOOKUP(Séparateur[[#This Row],[Puits]],Puits!$A$1:$F$267,3,FALSE)</f>
        <v>Centre</v>
      </c>
      <c r="O102" s="34">
        <f>(Séparateur[[#This Row],[Qw (sm3/j)]]/(Séparateur[[#This Row],[Qg (Msm3/j)]]*1000))*1000000</f>
        <v>1.4196831976944346</v>
      </c>
      <c r="P102" s="34">
        <f>(Séparateur[[#This Row],[Qc (sm3/j)]]/(Séparateur[[#This Row],[Qg (Msm3/j)]]*1000))*1000000</f>
        <v>16.929722132506129</v>
      </c>
      <c r="Q102" s="46">
        <v>0.73</v>
      </c>
      <c r="R102" s="46">
        <v>0.67</v>
      </c>
      <c r="S102" s="34">
        <v>1.2290000000000001</v>
      </c>
    </row>
    <row r="103" spans="1:19" x14ac:dyDescent="0.25">
      <c r="A103" s="6">
        <v>25</v>
      </c>
      <c r="B103" s="7" t="s">
        <v>148</v>
      </c>
      <c r="C103" s="8">
        <v>45352</v>
      </c>
      <c r="D103" s="7">
        <v>2035</v>
      </c>
      <c r="E103" s="42">
        <v>199.74799999999999</v>
      </c>
      <c r="F103" s="10">
        <v>2.6040000000000001</v>
      </c>
      <c r="G103" s="10">
        <v>0.08</v>
      </c>
      <c r="H103" s="10">
        <v>48.401196208123146</v>
      </c>
      <c r="I103" s="10">
        <v>50.555555555555557</v>
      </c>
      <c r="J103" s="10">
        <v>88.405000000000001</v>
      </c>
      <c r="K103" s="10">
        <v>56.928838872808754</v>
      </c>
      <c r="L103" s="6" t="s">
        <v>67</v>
      </c>
      <c r="M103" s="6" t="s">
        <v>297</v>
      </c>
      <c r="N103" s="11" t="str">
        <f>VLOOKUP(Séparateur[[#This Row],[Puits]],Puits!$A$1:$F$267,3,FALSE)</f>
        <v>Centre</v>
      </c>
      <c r="O103" s="34">
        <f>(Séparateur[[#This Row],[Qw (sm3/j)]]/(Séparateur[[#This Row],[Qg (Msm3/j)]]*1000))*1000000</f>
        <v>0.40050463584115986</v>
      </c>
      <c r="P103" s="34">
        <f>(Séparateur[[#This Row],[Qc (sm3/j)]]/(Séparateur[[#This Row],[Qg (Msm3/j)]]*1000))*1000000</f>
        <v>13.036425896629755</v>
      </c>
      <c r="Q103" s="46">
        <v>0.72199999999999998</v>
      </c>
      <c r="R103" s="46">
        <v>0.67</v>
      </c>
      <c r="S103" s="34">
        <v>0.35099999999999998</v>
      </c>
    </row>
    <row r="104" spans="1:19" x14ac:dyDescent="0.25">
      <c r="A104" s="6">
        <v>26</v>
      </c>
      <c r="B104" s="7" t="s">
        <v>142</v>
      </c>
      <c r="C104" s="8">
        <v>45352</v>
      </c>
      <c r="D104" s="7">
        <v>2135</v>
      </c>
      <c r="E104" s="42">
        <v>793.23199999999997</v>
      </c>
      <c r="F104" s="10">
        <v>9.1199999999999992</v>
      </c>
      <c r="G104" s="10">
        <v>0.62</v>
      </c>
      <c r="H104" s="10">
        <v>42.885390372439602</v>
      </c>
      <c r="I104" s="10">
        <v>54.44444444444445</v>
      </c>
      <c r="J104" s="10">
        <v>89.206000000000003</v>
      </c>
      <c r="K104" s="10">
        <v>54.941907715649648</v>
      </c>
      <c r="L104" s="6" t="s">
        <v>67</v>
      </c>
      <c r="M104" s="6" t="s">
        <v>298</v>
      </c>
      <c r="N104" s="11" t="str">
        <f>VLOOKUP(Séparateur[[#This Row],[Puits]],Puits!$A$1:$F$267,3,FALSE)</f>
        <v>Centre</v>
      </c>
      <c r="O104" s="34">
        <f>(Séparateur[[#This Row],[Qw (sm3/j)]]/(Séparateur[[#This Row],[Qg (Msm3/j)]]*1000))*1000000</f>
        <v>0.78161244125300033</v>
      </c>
      <c r="P104" s="34">
        <f>(Séparateur[[#This Row],[Qc (sm3/j)]]/(Séparateur[[#This Row],[Qg (Msm3/j)]]*1000))*1000000</f>
        <v>11.497266877786069</v>
      </c>
      <c r="Q104" s="46">
        <v>0.76100000000000001</v>
      </c>
      <c r="R104" s="46">
        <v>0.69</v>
      </c>
      <c r="S104" s="34">
        <v>0.47</v>
      </c>
    </row>
    <row r="105" spans="1:19" x14ac:dyDescent="0.25">
      <c r="A105" s="6">
        <v>26</v>
      </c>
      <c r="B105" s="7" t="s">
        <v>142</v>
      </c>
      <c r="C105" s="8">
        <v>45352</v>
      </c>
      <c r="D105" s="7">
        <v>2135</v>
      </c>
      <c r="E105" s="42">
        <v>617.428</v>
      </c>
      <c r="F105" s="10">
        <v>7.2</v>
      </c>
      <c r="G105" s="10">
        <v>0.48</v>
      </c>
      <c r="H105" s="10">
        <v>47.849615624554794</v>
      </c>
      <c r="I105" s="10">
        <v>56.666666666666671</v>
      </c>
      <c r="J105" s="10">
        <v>90.203000000000003</v>
      </c>
      <c r="K105" s="10">
        <v>58.672247202322438</v>
      </c>
      <c r="L105" s="6" t="s">
        <v>68</v>
      </c>
      <c r="M105" s="6" t="s">
        <v>298</v>
      </c>
      <c r="N105" s="11" t="str">
        <f>VLOOKUP(Séparateur[[#This Row],[Puits]],Puits!$A$1:$F$267,3,FALSE)</f>
        <v>Centre</v>
      </c>
      <c r="O105" s="34">
        <f>(Séparateur[[#This Row],[Qw (sm3/j)]]/(Séparateur[[#This Row],[Qg (Msm3/j)]]*1000))*1000000</f>
        <v>0.77741858159979782</v>
      </c>
      <c r="P105" s="34">
        <f>(Séparateur[[#This Row],[Qc (sm3/j)]]/(Séparateur[[#This Row],[Qg (Msm3/j)]]*1000))*1000000</f>
        <v>11.661278723996968</v>
      </c>
      <c r="Q105" s="46">
        <v>0.755</v>
      </c>
      <c r="R105" s="46">
        <v>0.68600000000000005</v>
      </c>
      <c r="S105" s="34">
        <v>0.41</v>
      </c>
    </row>
    <row r="106" spans="1:19" x14ac:dyDescent="0.25">
      <c r="A106" s="6">
        <v>26</v>
      </c>
      <c r="B106" s="7" t="s">
        <v>142</v>
      </c>
      <c r="C106" s="8">
        <v>45352</v>
      </c>
      <c r="D106" s="7">
        <v>2135</v>
      </c>
      <c r="E106" s="42">
        <v>449.55700000000002</v>
      </c>
      <c r="F106" s="10">
        <v>5.52</v>
      </c>
      <c r="G106" s="10">
        <v>0.36</v>
      </c>
      <c r="H106" s="10">
        <v>51.503836990695142</v>
      </c>
      <c r="I106" s="10">
        <v>56.111111111111114</v>
      </c>
      <c r="J106" s="10">
        <v>90.915000000000006</v>
      </c>
      <c r="K106" s="10">
        <v>61.605966431176618</v>
      </c>
      <c r="L106" s="6" t="s">
        <v>67</v>
      </c>
      <c r="M106" s="6" t="s">
        <v>298</v>
      </c>
      <c r="N106" s="11" t="str">
        <f>VLOOKUP(Séparateur[[#This Row],[Puits]],Puits!$A$1:$F$267,3,FALSE)</f>
        <v>Centre</v>
      </c>
      <c r="O106" s="34">
        <f>(Séparateur[[#This Row],[Qw (sm3/j)]]/(Séparateur[[#This Row],[Qg (Msm3/j)]]*1000))*1000000</f>
        <v>0.80078833162424345</v>
      </c>
      <c r="P106" s="34">
        <f>(Séparateur[[#This Row],[Qc (sm3/j)]]/(Séparateur[[#This Row],[Qg (Msm3/j)]]*1000))*1000000</f>
        <v>12.2787544182384</v>
      </c>
      <c r="Q106" s="46">
        <v>0.748</v>
      </c>
      <c r="R106" s="46">
        <v>0.68200000000000005</v>
      </c>
      <c r="S106" s="34">
        <v>1.0529999999999999</v>
      </c>
    </row>
    <row r="107" spans="1:19" x14ac:dyDescent="0.25">
      <c r="A107" s="6">
        <v>27</v>
      </c>
      <c r="B107" s="7" t="s">
        <v>248</v>
      </c>
      <c r="C107" s="8">
        <v>45353</v>
      </c>
      <c r="D107" s="7">
        <v>2190</v>
      </c>
      <c r="E107" s="42">
        <v>855.00599999999997</v>
      </c>
      <c r="F107" s="10">
        <v>11.2</v>
      </c>
      <c r="G107" s="10">
        <v>1.04</v>
      </c>
      <c r="H107" s="10">
        <v>44.95381756082093</v>
      </c>
      <c r="I107" s="10">
        <v>61.111111111111114</v>
      </c>
      <c r="J107" s="10">
        <v>90.328999999999994</v>
      </c>
      <c r="K107" s="10">
        <v>57.959880878643901</v>
      </c>
      <c r="L107" s="6" t="s">
        <v>67</v>
      </c>
      <c r="M107" s="6" t="s">
        <v>298</v>
      </c>
      <c r="N107" s="11" t="str">
        <f>VLOOKUP(Séparateur[[#This Row],[Puits]],Puits!$A$1:$F$267,3,FALSE)</f>
        <v>Centre</v>
      </c>
      <c r="O107" s="34">
        <f>(Séparateur[[#This Row],[Qw (sm3/j)]]/(Séparateur[[#This Row],[Qg (Msm3/j)]]*1000))*1000000</f>
        <v>1.2163657331059665</v>
      </c>
      <c r="P107" s="34">
        <f>(Séparateur[[#This Row],[Qc (sm3/j)]]/(Séparateur[[#This Row],[Qg (Msm3/j)]]*1000))*1000000</f>
        <v>13.099323279602716</v>
      </c>
      <c r="Q107" s="46">
        <v>0.754</v>
      </c>
      <c r="R107" s="46">
        <v>0.67800000000000005</v>
      </c>
      <c r="S107" s="34">
        <v>1</v>
      </c>
    </row>
    <row r="108" spans="1:19" x14ac:dyDescent="0.25">
      <c r="A108" s="6">
        <v>27</v>
      </c>
      <c r="B108" s="7" t="s">
        <v>248</v>
      </c>
      <c r="C108" s="8">
        <v>45353</v>
      </c>
      <c r="D108" s="7">
        <v>2190</v>
      </c>
      <c r="E108" s="42">
        <v>652.98900000000003</v>
      </c>
      <c r="F108" s="10">
        <v>8.8000000000000007</v>
      </c>
      <c r="G108" s="10">
        <v>0.64</v>
      </c>
      <c r="H108" s="10">
        <v>48.332248635177102</v>
      </c>
      <c r="I108" s="10">
        <v>63.333333333333336</v>
      </c>
      <c r="J108" s="10">
        <v>90.85</v>
      </c>
      <c r="K108" s="10">
        <v>59.876899196835723</v>
      </c>
      <c r="L108" s="6" t="s">
        <v>67</v>
      </c>
      <c r="M108" s="6" t="s">
        <v>298</v>
      </c>
      <c r="N108" s="11" t="str">
        <f>VLOOKUP(Séparateur[[#This Row],[Puits]],Puits!$A$1:$F$267,3,FALSE)</f>
        <v>Centre</v>
      </c>
      <c r="O108" s="34">
        <f>(Séparateur[[#This Row],[Qw (sm3/j)]]/(Séparateur[[#This Row],[Qg (Msm3/j)]]*1000))*1000000</f>
        <v>0.98010839386268378</v>
      </c>
      <c r="P108" s="34">
        <f>(Séparateur[[#This Row],[Qc (sm3/j)]]/(Séparateur[[#This Row],[Qg (Msm3/j)]]*1000))*1000000</f>
        <v>13.476490415611902</v>
      </c>
      <c r="Q108" s="46">
        <v>0.74</v>
      </c>
      <c r="R108" s="46">
        <v>0.68200000000000005</v>
      </c>
      <c r="S108" s="34">
        <v>0</v>
      </c>
    </row>
    <row r="109" spans="1:19" x14ac:dyDescent="0.25">
      <c r="A109" s="6">
        <v>27</v>
      </c>
      <c r="B109" s="7" t="s">
        <v>248</v>
      </c>
      <c r="C109" s="8">
        <v>45354</v>
      </c>
      <c r="D109" s="7">
        <v>2190</v>
      </c>
      <c r="E109" s="42">
        <v>477.85700000000003</v>
      </c>
      <c r="F109" s="10">
        <v>7.6</v>
      </c>
      <c r="G109" s="10">
        <v>0.48</v>
      </c>
      <c r="H109" s="10">
        <v>50.814361261234701</v>
      </c>
      <c r="I109" s="10">
        <v>63.888888888888893</v>
      </c>
      <c r="J109" s="10">
        <v>91.19</v>
      </c>
      <c r="K109" s="10">
        <v>61.357686220997913</v>
      </c>
      <c r="L109" s="6" t="s">
        <v>67</v>
      </c>
      <c r="M109" s="6" t="s">
        <v>298</v>
      </c>
      <c r="N109" s="11" t="str">
        <f>VLOOKUP(Séparateur[[#This Row],[Puits]],Puits!$A$1:$F$267,3,FALSE)</f>
        <v>Centre</v>
      </c>
      <c r="O109" s="34">
        <f>(Séparateur[[#This Row],[Qw (sm3/j)]]/(Séparateur[[#This Row],[Qg (Msm3/j)]]*1000))*1000000</f>
        <v>1.0044846052270868</v>
      </c>
      <c r="P109" s="34">
        <f>(Séparateur[[#This Row],[Qc (sm3/j)]]/(Séparateur[[#This Row],[Qg (Msm3/j)]]*1000))*1000000</f>
        <v>15.904339582762208</v>
      </c>
      <c r="Q109" s="46">
        <v>0.74</v>
      </c>
      <c r="R109" s="46">
        <v>0.68600000000000005</v>
      </c>
      <c r="S109" s="34">
        <v>0</v>
      </c>
    </row>
    <row r="110" spans="1:19" x14ac:dyDescent="0.25">
      <c r="A110" s="6">
        <v>28</v>
      </c>
      <c r="B110" s="7" t="s">
        <v>84</v>
      </c>
      <c r="C110" s="8">
        <v>45355</v>
      </c>
      <c r="D110" s="7">
        <v>2045</v>
      </c>
      <c r="E110" s="42">
        <v>467.66500000000002</v>
      </c>
      <c r="F110" s="10">
        <v>2.23</v>
      </c>
      <c r="G110" s="10">
        <v>0.52</v>
      </c>
      <c r="H110" s="10">
        <v>40.472225319328047</v>
      </c>
      <c r="I110" s="10">
        <v>53.333333333333336</v>
      </c>
      <c r="J110" s="12">
        <v>83.997</v>
      </c>
      <c r="K110" s="12">
        <v>44.304676161533926</v>
      </c>
      <c r="L110" s="6" t="s">
        <v>67</v>
      </c>
      <c r="M110" s="6" t="s">
        <v>297</v>
      </c>
      <c r="N110" s="11" t="str">
        <f>VLOOKUP(Séparateur[[#This Row],[Puits]],Puits!$A$1:$F$267,3,FALSE)</f>
        <v>Centre</v>
      </c>
      <c r="O110" s="34">
        <f>(Séparateur[[#This Row],[Qw (sm3/j)]]/(Séparateur[[#This Row],[Qg (Msm3/j)]]*1000))*1000000</f>
        <v>1.1119070274662419</v>
      </c>
      <c r="P110" s="34">
        <f>(Séparateur[[#This Row],[Qc (sm3/j)]]/(Séparateur[[#This Row],[Qg (Msm3/j)]]*1000))*1000000</f>
        <v>4.7683705216340755</v>
      </c>
      <c r="Q110" s="46">
        <v>0.73299999999999998</v>
      </c>
      <c r="R110" s="46">
        <v>0.67</v>
      </c>
      <c r="S110" s="34">
        <v>0.70199999999999996</v>
      </c>
    </row>
    <row r="111" spans="1:19" x14ac:dyDescent="0.25">
      <c r="A111" s="6">
        <v>28</v>
      </c>
      <c r="B111" s="7" t="s">
        <v>84</v>
      </c>
      <c r="C111" s="8">
        <v>45355</v>
      </c>
      <c r="D111" s="7">
        <v>2045</v>
      </c>
      <c r="E111" s="42">
        <v>338.642</v>
      </c>
      <c r="F111" s="10">
        <v>1.488</v>
      </c>
      <c r="G111" s="10">
        <v>0.36</v>
      </c>
      <c r="H111" s="10">
        <v>46.056978727957642</v>
      </c>
      <c r="I111" s="10">
        <v>53.888888888888893</v>
      </c>
      <c r="J111" s="12">
        <v>85.313999999999993</v>
      </c>
      <c r="K111" s="12">
        <v>49.105288823048156</v>
      </c>
      <c r="L111" s="6" t="s">
        <v>68</v>
      </c>
      <c r="M111" s="6" t="s">
        <v>297</v>
      </c>
      <c r="N111" s="11" t="str">
        <f>VLOOKUP(Séparateur[[#This Row],[Puits]],Puits!$A$1:$F$267,3,FALSE)</f>
        <v>Centre</v>
      </c>
      <c r="O111" s="34">
        <f>(Séparateur[[#This Row],[Qw (sm3/j)]]/(Séparateur[[#This Row],[Qg (Msm3/j)]]*1000))*1000000</f>
        <v>1.0630695542785595</v>
      </c>
      <c r="P111" s="34">
        <f>(Séparateur[[#This Row],[Qc (sm3/j)]]/(Séparateur[[#This Row],[Qg (Msm3/j)]]*1000))*1000000</f>
        <v>4.3940208243513794</v>
      </c>
      <c r="Q111" s="46">
        <v>0.751</v>
      </c>
      <c r="R111" s="46">
        <v>0.67</v>
      </c>
      <c r="S111" s="34">
        <v>1.4330000000000001</v>
      </c>
    </row>
    <row r="112" spans="1:19" x14ac:dyDescent="0.25">
      <c r="A112" s="6">
        <v>28</v>
      </c>
      <c r="B112" s="7" t="s">
        <v>84</v>
      </c>
      <c r="C112" s="8">
        <v>45355</v>
      </c>
      <c r="D112" s="7">
        <v>2045</v>
      </c>
      <c r="E112" s="42">
        <v>241.56</v>
      </c>
      <c r="F112" s="10">
        <v>1.1160000000000001</v>
      </c>
      <c r="G112" s="10">
        <v>0.08</v>
      </c>
      <c r="H112" s="10">
        <v>52.882788449616029</v>
      </c>
      <c r="I112" s="10">
        <v>55.555555555555557</v>
      </c>
      <c r="J112" s="12">
        <v>87.573999999999998</v>
      </c>
      <c r="K112" s="12">
        <v>58.064681189521892</v>
      </c>
      <c r="L112" s="6" t="s">
        <v>67</v>
      </c>
      <c r="M112" s="6" t="s">
        <v>297</v>
      </c>
      <c r="N112" s="11" t="str">
        <f>VLOOKUP(Séparateur[[#This Row],[Puits]],Puits!$A$1:$F$267,3,FALSE)</f>
        <v>Centre</v>
      </c>
      <c r="O112" s="34">
        <f>(Séparateur[[#This Row],[Qw (sm3/j)]]/(Séparateur[[#This Row],[Qg (Msm3/j)]]*1000))*1000000</f>
        <v>0.33118065904951149</v>
      </c>
      <c r="P112" s="34">
        <f>(Séparateur[[#This Row],[Qc (sm3/j)]]/(Séparateur[[#This Row],[Qg (Msm3/j)]]*1000))*1000000</f>
        <v>4.6199701937406861</v>
      </c>
      <c r="Q112" s="46">
        <v>0.749</v>
      </c>
      <c r="R112" s="46">
        <v>0.67</v>
      </c>
      <c r="S112" s="34">
        <v>1.5209999999999999</v>
      </c>
    </row>
    <row r="113" spans="1:19" x14ac:dyDescent="0.25">
      <c r="A113" s="6">
        <v>29</v>
      </c>
      <c r="B113" s="7" t="s">
        <v>192</v>
      </c>
      <c r="C113" s="8">
        <v>45356</v>
      </c>
      <c r="D113" s="7">
        <v>2135</v>
      </c>
      <c r="E113" s="42">
        <v>468.197</v>
      </c>
      <c r="F113" s="10">
        <v>5.47</v>
      </c>
      <c r="G113" s="10">
        <v>0.44</v>
      </c>
      <c r="H113" s="10">
        <v>38.265902985054623</v>
      </c>
      <c r="I113" s="10">
        <v>63.333333333333336</v>
      </c>
      <c r="J113" s="10">
        <v>87.867000000000004</v>
      </c>
      <c r="K113" s="10">
        <v>51.44137048960603</v>
      </c>
      <c r="L113" s="6" t="s">
        <v>67</v>
      </c>
      <c r="M113" s="6" t="s">
        <v>298</v>
      </c>
      <c r="N113" s="11" t="str">
        <f>VLOOKUP(Séparateur[[#This Row],[Puits]],Puits!$A$1:$F$267,3,FALSE)</f>
        <v>Centre</v>
      </c>
      <c r="O113" s="34">
        <f>(Séparateur[[#This Row],[Qw (sm3/j)]]/(Séparateur[[#This Row],[Qg (Msm3/j)]]*1000))*1000000</f>
        <v>0.93977535097405585</v>
      </c>
      <c r="P113" s="34">
        <f>(Séparateur[[#This Row],[Qc (sm3/j)]]/(Séparateur[[#This Row],[Qg (Msm3/j)]]*1000))*1000000</f>
        <v>11.683116295063829</v>
      </c>
      <c r="Q113" s="46">
        <v>0.71199999999999997</v>
      </c>
      <c r="R113" s="46">
        <v>0.67</v>
      </c>
      <c r="S113" s="34">
        <v>0</v>
      </c>
    </row>
    <row r="114" spans="1:19" x14ac:dyDescent="0.25">
      <c r="A114" s="6">
        <v>29</v>
      </c>
      <c r="B114" s="7" t="s">
        <v>192</v>
      </c>
      <c r="C114" s="8">
        <v>45357</v>
      </c>
      <c r="D114" s="7">
        <v>2135</v>
      </c>
      <c r="E114" s="42">
        <v>341.82499999999999</v>
      </c>
      <c r="F114" s="10">
        <v>4.0199999999999996</v>
      </c>
      <c r="G114" s="10">
        <v>0.4</v>
      </c>
      <c r="H114" s="10">
        <v>41.368543767626619</v>
      </c>
      <c r="I114" s="10">
        <v>55.555555555555557</v>
      </c>
      <c r="J114" s="10">
        <v>88.75</v>
      </c>
      <c r="K114" s="10">
        <v>55.153645712166956</v>
      </c>
      <c r="L114" s="6" t="s">
        <v>67</v>
      </c>
      <c r="M114" s="6" t="s">
        <v>298</v>
      </c>
      <c r="N114" s="11" t="str">
        <f>VLOOKUP(Séparateur[[#This Row],[Puits]],Puits!$A$1:$F$267,3,FALSE)</f>
        <v>Centre</v>
      </c>
      <c r="O114" s="34">
        <f>(Séparateur[[#This Row],[Qw (sm3/j)]]/(Séparateur[[#This Row],[Qg (Msm3/j)]]*1000))*1000000</f>
        <v>1.1701894244130771</v>
      </c>
      <c r="P114" s="34">
        <f>(Séparateur[[#This Row],[Qc (sm3/j)]]/(Séparateur[[#This Row],[Qg (Msm3/j)]]*1000))*1000000</f>
        <v>11.760403715351421</v>
      </c>
      <c r="Q114" s="46">
        <v>0.71699999999999997</v>
      </c>
      <c r="R114" s="46">
        <v>0.67</v>
      </c>
      <c r="S114" s="34">
        <v>0</v>
      </c>
    </row>
    <row r="115" spans="1:19" x14ac:dyDescent="0.25">
      <c r="A115" s="6">
        <v>29</v>
      </c>
      <c r="B115" s="7" t="s">
        <v>192</v>
      </c>
      <c r="C115" s="8">
        <v>45357</v>
      </c>
      <c r="D115" s="7">
        <v>2135</v>
      </c>
      <c r="E115" s="42">
        <v>229.58199999999999</v>
      </c>
      <c r="F115" s="10">
        <v>1.86</v>
      </c>
      <c r="G115" s="10">
        <v>0.16</v>
      </c>
      <c r="H115" s="10">
        <v>45.160660279659062</v>
      </c>
      <c r="I115" s="10">
        <v>57.777777777777779</v>
      </c>
      <c r="J115" s="10">
        <v>89.510999999999996</v>
      </c>
      <c r="K115" s="10">
        <v>58.398042704716012</v>
      </c>
      <c r="L115" s="6" t="s">
        <v>67</v>
      </c>
      <c r="M115" s="6" t="s">
        <v>298</v>
      </c>
      <c r="N115" s="11" t="str">
        <f>VLOOKUP(Séparateur[[#This Row],[Puits]],Puits!$A$1:$F$267,3,FALSE)</f>
        <v>Centre</v>
      </c>
      <c r="O115" s="34">
        <f>(Séparateur[[#This Row],[Qw (sm3/j)]]/(Séparateur[[#This Row],[Qg (Msm3/j)]]*1000))*1000000</f>
        <v>0.69691874798546927</v>
      </c>
      <c r="P115" s="34">
        <f>(Séparateur[[#This Row],[Qc (sm3/j)]]/(Séparateur[[#This Row],[Qg (Msm3/j)]]*1000))*1000000</f>
        <v>8.1016804453310804</v>
      </c>
      <c r="Q115" s="46">
        <v>0.71899999999999997</v>
      </c>
      <c r="R115" s="46">
        <v>0.67</v>
      </c>
      <c r="S115" s="34">
        <v>0</v>
      </c>
    </row>
    <row r="116" spans="1:19" x14ac:dyDescent="0.25">
      <c r="A116" s="6">
        <v>30</v>
      </c>
      <c r="B116" s="7" t="s">
        <v>146</v>
      </c>
      <c r="C116" s="8">
        <v>45359</v>
      </c>
      <c r="D116" s="7">
        <v>2135</v>
      </c>
      <c r="E116" s="42">
        <v>795.19299999999998</v>
      </c>
      <c r="F116" s="10">
        <v>10</v>
      </c>
      <c r="G116" s="10">
        <v>1.68</v>
      </c>
      <c r="H116" s="10">
        <v>48.263301062231058</v>
      </c>
      <c r="I116" s="10">
        <v>60</v>
      </c>
      <c r="J116" s="10">
        <v>88.221999999999994</v>
      </c>
      <c r="K116" s="10">
        <v>60.811000915108728</v>
      </c>
      <c r="L116" s="6" t="s">
        <v>67</v>
      </c>
      <c r="M116" s="6" t="s">
        <v>298</v>
      </c>
      <c r="N116" s="11" t="str">
        <f>VLOOKUP(Séparateur[[#This Row],[Puits]],Puits!$A$1:$F$267,3,FALSE)</f>
        <v>Centre</v>
      </c>
      <c r="O116" s="34">
        <f>(Séparateur[[#This Row],[Qw (sm3/j)]]/(Séparateur[[#This Row],[Qg (Msm3/j)]]*1000))*1000000</f>
        <v>2.1126946540022358</v>
      </c>
      <c r="P116" s="34">
        <f>(Séparateur[[#This Row],[Qc (sm3/j)]]/(Séparateur[[#This Row],[Qg (Msm3/j)]]*1000))*1000000</f>
        <v>12.575563416679975</v>
      </c>
      <c r="Q116" s="46">
        <v>0.747</v>
      </c>
      <c r="R116" s="46">
        <v>0.69799999999999995</v>
      </c>
      <c r="S116" s="34">
        <v>11.41</v>
      </c>
    </row>
    <row r="117" spans="1:19" x14ac:dyDescent="0.25">
      <c r="A117" s="6">
        <v>30</v>
      </c>
      <c r="B117" s="7" t="s">
        <v>146</v>
      </c>
      <c r="C117" s="8">
        <v>45359</v>
      </c>
      <c r="D117" s="7">
        <v>2135</v>
      </c>
      <c r="E117" s="42">
        <v>612.65099999999995</v>
      </c>
      <c r="F117" s="10">
        <v>8.1999999999999993</v>
      </c>
      <c r="G117" s="10">
        <v>0.84</v>
      </c>
      <c r="H117" s="10">
        <v>52.193312720155589</v>
      </c>
      <c r="I117" s="10">
        <v>61.666666666666671</v>
      </c>
      <c r="J117" s="10">
        <v>88.942999999999998</v>
      </c>
      <c r="K117" s="10">
        <v>63.63681719230236</v>
      </c>
      <c r="L117" s="6" t="s">
        <v>68</v>
      </c>
      <c r="M117" s="6" t="s">
        <v>298</v>
      </c>
      <c r="N117" s="11" t="str">
        <f>VLOOKUP(Séparateur[[#This Row],[Puits]],Puits!$A$1:$F$267,3,FALSE)</f>
        <v>Centre</v>
      </c>
      <c r="O117" s="34">
        <f>(Séparateur[[#This Row],[Qw (sm3/j)]]/(Séparateur[[#This Row],[Qg (Msm3/j)]]*1000))*1000000</f>
        <v>1.3710905556344477</v>
      </c>
      <c r="P117" s="34">
        <f>(Séparateur[[#This Row],[Qc (sm3/j)]]/(Séparateur[[#This Row],[Qg (Msm3/j)]]*1000))*1000000</f>
        <v>13.384455424050559</v>
      </c>
      <c r="Q117" s="46">
        <v>0.74199999999999999</v>
      </c>
      <c r="R117" s="46">
        <v>0.69199999999999995</v>
      </c>
      <c r="S117" s="34">
        <v>7.02</v>
      </c>
    </row>
    <row r="118" spans="1:19" x14ac:dyDescent="0.25">
      <c r="A118" s="6">
        <v>30</v>
      </c>
      <c r="B118" s="7" t="s">
        <v>146</v>
      </c>
      <c r="C118" s="8">
        <v>45359</v>
      </c>
      <c r="D118" s="7">
        <v>2135</v>
      </c>
      <c r="E118" s="42">
        <v>519.13800000000003</v>
      </c>
      <c r="F118" s="10">
        <v>7.9</v>
      </c>
      <c r="G118" s="10">
        <v>0.72</v>
      </c>
      <c r="H118" s="10">
        <v>53.779106897914609</v>
      </c>
      <c r="I118" s="10">
        <v>61.666666666666671</v>
      </c>
      <c r="J118" s="10">
        <v>89.215999999999994</v>
      </c>
      <c r="K118" s="10">
        <v>64.789069031376656</v>
      </c>
      <c r="L118" s="6" t="s">
        <v>67</v>
      </c>
      <c r="M118" s="6" t="s">
        <v>298</v>
      </c>
      <c r="N118" s="11" t="str">
        <f>VLOOKUP(Séparateur[[#This Row],[Puits]],Puits!$A$1:$F$267,3,FALSE)</f>
        <v>Centre</v>
      </c>
      <c r="O118" s="34">
        <f>(Séparateur[[#This Row],[Qw (sm3/j)]]/(Séparateur[[#This Row],[Qg (Msm3/j)]]*1000))*1000000</f>
        <v>1.3869144620505527</v>
      </c>
      <c r="P118" s="34">
        <f>(Séparateur[[#This Row],[Qc (sm3/j)]]/(Séparateur[[#This Row],[Qg (Msm3/j)]]*1000))*1000000</f>
        <v>15.217533680832455</v>
      </c>
      <c r="Q118" s="46">
        <v>0.73799999999999999</v>
      </c>
      <c r="R118" s="46">
        <v>0.68799999999999994</v>
      </c>
      <c r="S118" s="34">
        <v>5.85</v>
      </c>
    </row>
    <row r="119" spans="1:19" x14ac:dyDescent="0.25">
      <c r="A119" s="6">
        <v>31</v>
      </c>
      <c r="B119" s="7" t="s">
        <v>180</v>
      </c>
      <c r="C119" s="8">
        <v>45359</v>
      </c>
      <c r="D119" s="7">
        <v>2140</v>
      </c>
      <c r="E119" s="42">
        <v>354.56700000000001</v>
      </c>
      <c r="F119" s="10">
        <v>2.2320000000000002</v>
      </c>
      <c r="G119" s="10">
        <v>0.48</v>
      </c>
      <c r="H119" s="10">
        <v>35.852737931943075</v>
      </c>
      <c r="I119" s="10">
        <v>55</v>
      </c>
      <c r="J119" s="10">
        <v>89.344999999999999</v>
      </c>
      <c r="K119" s="10">
        <v>57.810195697778042</v>
      </c>
      <c r="L119" s="6" t="s">
        <v>67</v>
      </c>
      <c r="M119" s="6" t="s">
        <v>298</v>
      </c>
      <c r="N119" s="11" t="str">
        <f>VLOOKUP(Séparateur[[#This Row],[Puits]],Puits!$A$1:$F$267,3,FALSE)</f>
        <v>Centre</v>
      </c>
      <c r="O119" s="34">
        <f>(Séparateur[[#This Row],[Qw (sm3/j)]]/(Séparateur[[#This Row],[Qg (Msm3/j)]]*1000))*1000000</f>
        <v>1.3537638866561186</v>
      </c>
      <c r="P119" s="34">
        <f>(Séparateur[[#This Row],[Qc (sm3/j)]]/(Séparateur[[#This Row],[Qg (Msm3/j)]]*1000))*1000000</f>
        <v>6.2950020729509522</v>
      </c>
      <c r="Q119" s="46">
        <v>0.74099999999999999</v>
      </c>
      <c r="R119" s="46">
        <v>0.67</v>
      </c>
      <c r="S119" s="34">
        <v>0</v>
      </c>
    </row>
    <row r="120" spans="1:19" x14ac:dyDescent="0.25">
      <c r="A120" s="6">
        <v>31</v>
      </c>
      <c r="B120" s="7" t="s">
        <v>180</v>
      </c>
      <c r="C120" s="8">
        <v>45359</v>
      </c>
      <c r="D120" s="7">
        <v>2140</v>
      </c>
      <c r="E120" s="42">
        <v>265.39</v>
      </c>
      <c r="F120" s="10">
        <v>1.86</v>
      </c>
      <c r="G120" s="10">
        <v>0.12</v>
      </c>
      <c r="H120" s="10">
        <v>44.815922414928842</v>
      </c>
      <c r="I120" s="10">
        <v>54.44444444444445</v>
      </c>
      <c r="J120" s="10">
        <v>90.507000000000005</v>
      </c>
      <c r="K120" s="10">
        <v>62.470224258055282</v>
      </c>
      <c r="L120" s="6" t="s">
        <v>67</v>
      </c>
      <c r="M120" s="6" t="s">
        <v>298</v>
      </c>
      <c r="N120" s="11" t="str">
        <f>VLOOKUP(Séparateur[[#This Row],[Puits]],Puits!$A$1:$F$267,3,FALSE)</f>
        <v>Centre</v>
      </c>
      <c r="O120" s="34">
        <f>(Séparateur[[#This Row],[Qw (sm3/j)]]/(Séparateur[[#This Row],[Qg (Msm3/j)]]*1000))*1000000</f>
        <v>0.4521647386864614</v>
      </c>
      <c r="P120" s="34">
        <f>(Séparateur[[#This Row],[Qc (sm3/j)]]/(Séparateur[[#This Row],[Qg (Msm3/j)]]*1000))*1000000</f>
        <v>7.0085534496401527</v>
      </c>
      <c r="Q120" s="46">
        <v>0.748</v>
      </c>
      <c r="R120" s="46">
        <v>0.67</v>
      </c>
      <c r="S120" s="34">
        <v>0</v>
      </c>
    </row>
    <row r="121" spans="1:19" x14ac:dyDescent="0.25">
      <c r="A121" s="6">
        <v>31</v>
      </c>
      <c r="B121" s="7" t="s">
        <v>180</v>
      </c>
      <c r="C121" s="8">
        <v>45360</v>
      </c>
      <c r="D121" s="7">
        <v>2140</v>
      </c>
      <c r="E121" s="42">
        <v>185.22</v>
      </c>
      <c r="F121" s="10">
        <v>1.488</v>
      </c>
      <c r="G121" s="10">
        <v>0</v>
      </c>
      <c r="H121" s="10">
        <v>50.331728250612393</v>
      </c>
      <c r="I121" s="10">
        <v>54.44444444444445</v>
      </c>
      <c r="J121" s="10">
        <v>91.183000000000007</v>
      </c>
      <c r="K121" s="10">
        <v>65.678906407818303</v>
      </c>
      <c r="L121" s="6" t="s">
        <v>67</v>
      </c>
      <c r="M121" s="6" t="s">
        <v>298</v>
      </c>
      <c r="N121" s="11" t="str">
        <f>VLOOKUP(Séparateur[[#This Row],[Puits]],Puits!$A$1:$F$267,3,FALSE)</f>
        <v>Centre</v>
      </c>
      <c r="O121" s="34">
        <f>(Séparateur[[#This Row],[Qw (sm3/j)]]/(Séparateur[[#This Row],[Qg (Msm3/j)]]*1000))*1000000</f>
        <v>0</v>
      </c>
      <c r="P121" s="34">
        <f>(Séparateur[[#This Row],[Qc (sm3/j)]]/(Séparateur[[#This Row],[Qg (Msm3/j)]]*1000))*1000000</f>
        <v>8.0336896663427275</v>
      </c>
      <c r="Q121" s="46">
        <v>0.74</v>
      </c>
      <c r="R121" s="46">
        <v>0.67</v>
      </c>
      <c r="S121" s="34">
        <v>0</v>
      </c>
    </row>
    <row r="122" spans="1:19" x14ac:dyDescent="0.25">
      <c r="A122" s="6">
        <v>32</v>
      </c>
      <c r="B122" s="7" t="s">
        <v>274</v>
      </c>
      <c r="C122" s="8">
        <v>45360</v>
      </c>
      <c r="D122" s="7">
        <v>2130</v>
      </c>
      <c r="E122" s="42">
        <v>850.17700000000002</v>
      </c>
      <c r="F122" s="10">
        <v>11.44</v>
      </c>
      <c r="G122" s="10">
        <v>0.88</v>
      </c>
      <c r="H122" s="10">
        <v>45.988031155011598</v>
      </c>
      <c r="I122" s="10">
        <v>58.333333333333336</v>
      </c>
      <c r="J122" s="10">
        <v>87.26</v>
      </c>
      <c r="K122" s="10">
        <v>58.901291039649195</v>
      </c>
      <c r="L122" s="6" t="s">
        <v>67</v>
      </c>
      <c r="M122" s="6" t="s">
        <v>298</v>
      </c>
      <c r="N122" s="11" t="str">
        <f>VLOOKUP(Séparateur[[#This Row],[Puits]],Puits!$A$1:$F$267,3,FALSE)</f>
        <v>Centre</v>
      </c>
      <c r="O122" s="34">
        <f>(Séparateur[[#This Row],[Qw (sm3/j)]]/(Séparateur[[#This Row],[Qg (Msm3/j)]]*1000))*1000000</f>
        <v>1.0350785777549851</v>
      </c>
      <c r="P122" s="34">
        <f>(Séparateur[[#This Row],[Qc (sm3/j)]]/(Séparateur[[#This Row],[Qg (Msm3/j)]]*1000))*1000000</f>
        <v>13.456021510814807</v>
      </c>
      <c r="Q122" s="46">
        <v>0.74299999999999999</v>
      </c>
      <c r="R122" s="46">
        <v>0.67200000000000004</v>
      </c>
      <c r="S122" s="34">
        <v>1</v>
      </c>
    </row>
    <row r="123" spans="1:19" x14ac:dyDescent="0.25">
      <c r="A123" s="6">
        <v>32</v>
      </c>
      <c r="B123" s="7" t="s">
        <v>274</v>
      </c>
      <c r="C123" s="8">
        <v>45360</v>
      </c>
      <c r="D123" s="7">
        <v>2130</v>
      </c>
      <c r="E123" s="42">
        <v>655.21400000000006</v>
      </c>
      <c r="F123" s="10">
        <v>10.199999999999999</v>
      </c>
      <c r="G123" s="10">
        <v>0.75</v>
      </c>
      <c r="H123" s="10">
        <v>50.400675823558437</v>
      </c>
      <c r="I123" s="10">
        <v>58.888888888888893</v>
      </c>
      <c r="J123" s="10">
        <v>88.125</v>
      </c>
      <c r="K123" s="10">
        <v>62.181196032265468</v>
      </c>
      <c r="L123" s="6" t="s">
        <v>68</v>
      </c>
      <c r="M123" s="6" t="s">
        <v>298</v>
      </c>
      <c r="N123" s="11" t="str">
        <f>VLOOKUP(Séparateur[[#This Row],[Puits]],Puits!$A$1:$F$267,3,FALSE)</f>
        <v>Centre</v>
      </c>
      <c r="O123" s="34">
        <f>(Séparateur[[#This Row],[Qw (sm3/j)]]/(Séparateur[[#This Row],[Qg (Msm3/j)]]*1000))*1000000</f>
        <v>1.1446641860521904</v>
      </c>
      <c r="P123" s="34">
        <f>(Séparateur[[#This Row],[Qc (sm3/j)]]/(Séparateur[[#This Row],[Qg (Msm3/j)]]*1000))*1000000</f>
        <v>15.567432930309792</v>
      </c>
      <c r="Q123" s="46">
        <v>0.73299999999999998</v>
      </c>
      <c r="R123" s="46">
        <v>0.68</v>
      </c>
      <c r="S123" s="34">
        <v>0</v>
      </c>
    </row>
    <row r="124" spans="1:19" x14ac:dyDescent="0.25">
      <c r="A124" s="6">
        <v>32</v>
      </c>
      <c r="B124" s="7" t="s">
        <v>274</v>
      </c>
      <c r="C124" s="8">
        <v>45360</v>
      </c>
      <c r="D124" s="7">
        <v>2130</v>
      </c>
      <c r="E124" s="42">
        <v>505.81200000000001</v>
      </c>
      <c r="F124" s="10">
        <v>8.6</v>
      </c>
      <c r="G124" s="10">
        <v>0.6</v>
      </c>
      <c r="H124" s="10">
        <v>53.434369033184389</v>
      </c>
      <c r="I124" s="10">
        <v>57.777777777777779</v>
      </c>
      <c r="J124" s="10">
        <v>88.655000000000001</v>
      </c>
      <c r="K124" s="10">
        <v>64.474668098742683</v>
      </c>
      <c r="L124" s="6" t="s">
        <v>67</v>
      </c>
      <c r="M124" s="6" t="s">
        <v>298</v>
      </c>
      <c r="N124" s="11" t="str">
        <f>VLOOKUP(Séparateur[[#This Row],[Puits]],Puits!$A$1:$F$267,3,FALSE)</f>
        <v>Centre</v>
      </c>
      <c r="O124" s="34">
        <f>(Séparateur[[#This Row],[Qw (sm3/j)]]/(Séparateur[[#This Row],[Qg (Msm3/j)]]*1000))*1000000</f>
        <v>1.186211477782259</v>
      </c>
      <c r="P124" s="34">
        <f>(Séparateur[[#This Row],[Qc (sm3/j)]]/(Séparateur[[#This Row],[Qg (Msm3/j)]]*1000))*1000000</f>
        <v>17.002364514879048</v>
      </c>
      <c r="Q124" s="46">
        <v>0.73199999999999998</v>
      </c>
      <c r="R124" s="46">
        <v>0.67800000000000005</v>
      </c>
      <c r="S124" s="34">
        <v>0</v>
      </c>
    </row>
    <row r="125" spans="1:19" x14ac:dyDescent="0.25">
      <c r="A125" s="6">
        <v>33</v>
      </c>
      <c r="B125" s="7" t="s">
        <v>321</v>
      </c>
      <c r="C125" s="8">
        <v>45361</v>
      </c>
      <c r="D125" s="7">
        <v>2115</v>
      </c>
      <c r="E125" s="42">
        <v>807.95600000000002</v>
      </c>
      <c r="F125" s="10">
        <v>7.2</v>
      </c>
      <c r="G125" s="10">
        <v>0.96</v>
      </c>
      <c r="H125" s="10">
        <v>42.058019497087066</v>
      </c>
      <c r="I125" s="10">
        <v>63.888888888888893</v>
      </c>
      <c r="J125" s="10">
        <v>85.784999999999997</v>
      </c>
      <c r="K125" s="10">
        <v>54.277115217303887</v>
      </c>
      <c r="L125" s="6" t="s">
        <v>67</v>
      </c>
      <c r="M125" s="6" t="s">
        <v>298</v>
      </c>
      <c r="N125" s="11" t="str">
        <f>VLOOKUP(Séparateur[[#This Row],[Puits]],Puits!$A$1:$F$267,3,FALSE)</f>
        <v>Centre</v>
      </c>
      <c r="O125" s="34">
        <f>(Séparateur[[#This Row],[Qw (sm3/j)]]/(Séparateur[[#This Row],[Qg (Msm3/j)]]*1000))*1000000</f>
        <v>1.1881835149438829</v>
      </c>
      <c r="P125" s="34">
        <f>(Séparateur[[#This Row],[Qc (sm3/j)]]/(Séparateur[[#This Row],[Qg (Msm3/j)]]*1000))*1000000</f>
        <v>8.9113763620791229</v>
      </c>
      <c r="Q125" s="46">
        <v>0.75800000000000001</v>
      </c>
      <c r="R125" s="46">
        <v>0.69599999999999995</v>
      </c>
      <c r="S125" s="34">
        <v>2</v>
      </c>
    </row>
    <row r="126" spans="1:19" x14ac:dyDescent="0.25">
      <c r="A126" s="6">
        <v>33</v>
      </c>
      <c r="B126" s="7" t="s">
        <v>321</v>
      </c>
      <c r="C126" s="8">
        <v>45361</v>
      </c>
      <c r="D126" s="7">
        <v>2115</v>
      </c>
      <c r="E126" s="42">
        <v>653.32899999999995</v>
      </c>
      <c r="F126" s="10">
        <v>5.76</v>
      </c>
      <c r="G126" s="10">
        <v>0.78</v>
      </c>
      <c r="H126" s="10">
        <v>47.573825332770618</v>
      </c>
      <c r="I126" s="10">
        <v>64.444444444444443</v>
      </c>
      <c r="J126" s="10">
        <v>87.013000000000005</v>
      </c>
      <c r="K126" s="10">
        <v>58.58606273613988</v>
      </c>
      <c r="L126" s="6" t="s">
        <v>68</v>
      </c>
      <c r="M126" s="6" t="s">
        <v>298</v>
      </c>
      <c r="N126" s="11" t="str">
        <f>VLOOKUP(Séparateur[[#This Row],[Puits]],Puits!$A$1:$F$267,3,FALSE)</f>
        <v>Centre</v>
      </c>
      <c r="O126" s="34">
        <f>(Séparateur[[#This Row],[Qw (sm3/j)]]/(Séparateur[[#This Row],[Qg (Msm3/j)]]*1000))*1000000</f>
        <v>1.1938854696485233</v>
      </c>
      <c r="P126" s="34">
        <f>(Séparateur[[#This Row],[Qc (sm3/j)]]/(Séparateur[[#This Row],[Qg (Msm3/j)]]*1000))*1000000</f>
        <v>8.8163850066352474</v>
      </c>
      <c r="Q126" s="46">
        <v>0.76</v>
      </c>
      <c r="R126" s="46">
        <v>0.69799999999999995</v>
      </c>
      <c r="S126" s="34">
        <v>1</v>
      </c>
    </row>
    <row r="127" spans="1:19" x14ac:dyDescent="0.25">
      <c r="A127" s="6">
        <v>33</v>
      </c>
      <c r="B127" s="7" t="s">
        <v>321</v>
      </c>
      <c r="C127" s="8">
        <v>45361</v>
      </c>
      <c r="D127" s="7">
        <v>2115</v>
      </c>
      <c r="E127" s="42">
        <v>512.98699999999997</v>
      </c>
      <c r="F127" s="10">
        <v>4.8</v>
      </c>
      <c r="G127" s="10">
        <v>0.66</v>
      </c>
      <c r="H127" s="10">
        <v>51.917522428371413</v>
      </c>
      <c r="I127" s="10">
        <v>61.111111111111114</v>
      </c>
      <c r="J127" s="10">
        <v>87.983000000000004</v>
      </c>
      <c r="K127" s="10">
        <v>62.178369181774684</v>
      </c>
      <c r="L127" s="6" t="s">
        <v>68</v>
      </c>
      <c r="M127" s="6" t="s">
        <v>298</v>
      </c>
      <c r="N127" s="11" t="str">
        <f>VLOOKUP(Séparateur[[#This Row],[Puits]],Puits!$A$1:$F$267,3,FALSE)</f>
        <v>Centre</v>
      </c>
      <c r="O127" s="34">
        <f>(Séparateur[[#This Row],[Qw (sm3/j)]]/(Séparateur[[#This Row],[Qg (Msm3/j)]]*1000))*1000000</f>
        <v>1.286582311052717</v>
      </c>
      <c r="P127" s="34">
        <f>(Séparateur[[#This Row],[Qc (sm3/j)]]/(Séparateur[[#This Row],[Qg (Msm3/j)]]*1000))*1000000</f>
        <v>9.3569622622015771</v>
      </c>
      <c r="Q127" s="46">
        <v>0.76100000000000001</v>
      </c>
      <c r="R127" s="46">
        <v>0.69699999999999995</v>
      </c>
      <c r="S127" s="34">
        <v>1</v>
      </c>
    </row>
    <row r="128" spans="1:19" x14ac:dyDescent="0.25">
      <c r="A128" s="6">
        <v>34</v>
      </c>
      <c r="B128" s="7" t="s">
        <v>224</v>
      </c>
      <c r="C128" s="8">
        <v>45362</v>
      </c>
      <c r="D128" s="7">
        <v>2115</v>
      </c>
      <c r="E128" s="42">
        <v>596.76700000000005</v>
      </c>
      <c r="F128" s="10">
        <v>7.8</v>
      </c>
      <c r="G128" s="10">
        <v>0.78</v>
      </c>
      <c r="H128" s="10">
        <v>38.196955412108579</v>
      </c>
      <c r="I128" s="10">
        <v>56.666666666666671</v>
      </c>
      <c r="J128" s="10">
        <v>85.784999999999997</v>
      </c>
      <c r="K128" s="10">
        <v>48.500825451030188</v>
      </c>
      <c r="L128" s="6" t="s">
        <v>67</v>
      </c>
      <c r="M128" s="6" t="s">
        <v>298</v>
      </c>
      <c r="N128" s="11" t="str">
        <f>VLOOKUP(Séparateur[[#This Row],[Puits]],Puits!$A$1:$F$267,3,FALSE)</f>
        <v>Centre</v>
      </c>
      <c r="O128" s="34">
        <f>(Séparateur[[#This Row],[Qw (sm3/j)]]/(Séparateur[[#This Row],[Qg (Msm3/j)]]*1000))*1000000</f>
        <v>1.3070427821913746</v>
      </c>
      <c r="P128" s="34">
        <f>(Séparateur[[#This Row],[Qc (sm3/j)]]/(Séparateur[[#This Row],[Qg (Msm3/j)]]*1000))*1000000</f>
        <v>13.070427821913745</v>
      </c>
      <c r="Q128" s="46">
        <v>0.748</v>
      </c>
      <c r="R128" s="46">
        <v>0.68899999999999995</v>
      </c>
      <c r="S128" s="34">
        <v>0.4</v>
      </c>
    </row>
    <row r="129" spans="1:19" x14ac:dyDescent="0.25">
      <c r="A129" s="6">
        <v>34</v>
      </c>
      <c r="B129" s="7" t="s">
        <v>224</v>
      </c>
      <c r="C129" s="8">
        <v>45362</v>
      </c>
      <c r="D129" s="7">
        <v>2115</v>
      </c>
      <c r="E129" s="42">
        <v>547.17200000000003</v>
      </c>
      <c r="F129" s="10">
        <v>6.5</v>
      </c>
      <c r="G129" s="10">
        <v>0.74</v>
      </c>
      <c r="H129" s="10">
        <v>42.333809788871243</v>
      </c>
      <c r="I129" s="10">
        <v>57.777777777777779</v>
      </c>
      <c r="J129" s="10">
        <v>86.659000000000006</v>
      </c>
      <c r="K129" s="10">
        <v>52.056382840284748</v>
      </c>
      <c r="L129" s="6" t="s">
        <v>68</v>
      </c>
      <c r="M129" s="6" t="s">
        <v>298</v>
      </c>
      <c r="N129" s="11" t="str">
        <f>VLOOKUP(Séparateur[[#This Row],[Puits]],Puits!$A$1:$F$267,3,FALSE)</f>
        <v>Centre</v>
      </c>
      <c r="O129" s="34">
        <f>(Séparateur[[#This Row],[Qw (sm3/j)]]/(Séparateur[[#This Row],[Qg (Msm3/j)]]*1000))*1000000</f>
        <v>1.3524083834699143</v>
      </c>
      <c r="P129" s="34">
        <f>(Séparateur[[#This Row],[Qc (sm3/j)]]/(Séparateur[[#This Row],[Qg (Msm3/j)]]*1000))*1000000</f>
        <v>11.879262827776277</v>
      </c>
      <c r="Q129" s="46">
        <v>0.749</v>
      </c>
      <c r="R129" s="46">
        <v>0.69099999999999995</v>
      </c>
      <c r="S129" s="34">
        <v>0.4</v>
      </c>
    </row>
    <row r="130" spans="1:19" x14ac:dyDescent="0.25">
      <c r="A130" s="6">
        <v>34</v>
      </c>
      <c r="B130" s="7" t="s">
        <v>224</v>
      </c>
      <c r="C130" s="8">
        <v>45362</v>
      </c>
      <c r="D130" s="7">
        <v>2115</v>
      </c>
      <c r="E130" s="42">
        <v>407.24700000000001</v>
      </c>
      <c r="F130" s="10">
        <v>5.4</v>
      </c>
      <c r="G130" s="10">
        <v>0.48</v>
      </c>
      <c r="H130" s="10">
        <v>45.85013600911951</v>
      </c>
      <c r="I130" s="10">
        <v>58.333333333333336</v>
      </c>
      <c r="J130" s="10">
        <v>87.251999999999995</v>
      </c>
      <c r="K130" s="10">
        <v>54.831660546508921</v>
      </c>
      <c r="L130" s="6" t="s">
        <v>67</v>
      </c>
      <c r="M130" s="6" t="s">
        <v>298</v>
      </c>
      <c r="N130" s="11" t="str">
        <f>VLOOKUP(Séparateur[[#This Row],[Puits]],Puits!$A$1:$F$267,3,FALSE)</f>
        <v>Centre</v>
      </c>
      <c r="O130" s="34">
        <f>(Séparateur[[#This Row],[Qw (sm3/j)]]/(Séparateur[[#This Row],[Qg (Msm3/j)]]*1000))*1000000</f>
        <v>1.1786458832109259</v>
      </c>
      <c r="P130" s="34">
        <f>(Séparateur[[#This Row],[Qc (sm3/j)]]/(Séparateur[[#This Row],[Qg (Msm3/j)]]*1000))*1000000</f>
        <v>13.259766186122919</v>
      </c>
      <c r="Q130" s="46">
        <v>0.75</v>
      </c>
      <c r="R130" s="46">
        <v>0.69199999999999995</v>
      </c>
      <c r="S130" s="34">
        <v>0.3</v>
      </c>
    </row>
    <row r="131" spans="1:19" x14ac:dyDescent="0.25">
      <c r="A131" s="6">
        <v>35</v>
      </c>
      <c r="B131" s="7" t="s">
        <v>175</v>
      </c>
      <c r="C131" s="8">
        <v>45363</v>
      </c>
      <c r="D131" s="7">
        <v>2095</v>
      </c>
      <c r="E131" s="42">
        <v>878.79200000000003</v>
      </c>
      <c r="F131" s="10">
        <v>9.1199999999999992</v>
      </c>
      <c r="G131" s="10">
        <v>1.08</v>
      </c>
      <c r="H131" s="10">
        <v>43.299075810115866</v>
      </c>
      <c r="I131" s="10">
        <v>61.111111111111114</v>
      </c>
      <c r="J131" s="10">
        <v>87.646000000000001</v>
      </c>
      <c r="K131" s="10">
        <v>55.785688113363335</v>
      </c>
      <c r="L131" s="6" t="s">
        <v>67</v>
      </c>
      <c r="M131" s="6" t="s">
        <v>298</v>
      </c>
      <c r="N131" s="11" t="str">
        <f>VLOOKUP(Séparateur[[#This Row],[Puits]],Puits!$A$1:$F$267,3,FALSE)</f>
        <v>Centre</v>
      </c>
      <c r="O131" s="34">
        <f>(Séparateur[[#This Row],[Qw (sm3/j)]]/(Séparateur[[#This Row],[Qg (Msm3/j)]]*1000))*1000000</f>
        <v>1.2289597538439132</v>
      </c>
      <c r="P131" s="34">
        <f>(Séparateur[[#This Row],[Qc (sm3/j)]]/(Séparateur[[#This Row],[Qg (Msm3/j)]]*1000))*1000000</f>
        <v>10.377882365793042</v>
      </c>
      <c r="Q131" s="46">
        <v>0.745</v>
      </c>
      <c r="R131" s="46">
        <v>0.68100000000000005</v>
      </c>
      <c r="S131" s="34">
        <v>0.5</v>
      </c>
    </row>
    <row r="132" spans="1:19" x14ac:dyDescent="0.25">
      <c r="A132" s="6">
        <v>35</v>
      </c>
      <c r="B132" s="7" t="s">
        <v>175</v>
      </c>
      <c r="C132" s="8">
        <v>45363</v>
      </c>
      <c r="D132" s="7">
        <v>2095</v>
      </c>
      <c r="E132" s="42">
        <v>663.03099999999995</v>
      </c>
      <c r="F132" s="10">
        <v>7.68</v>
      </c>
      <c r="G132" s="10">
        <v>0.91</v>
      </c>
      <c r="H132" s="10">
        <v>49.573304948205902</v>
      </c>
      <c r="I132" s="10">
        <v>57.222222222222221</v>
      </c>
      <c r="J132" s="10">
        <v>88.974000000000004</v>
      </c>
      <c r="K132" s="10">
        <v>60.544035912661641</v>
      </c>
      <c r="L132" s="6" t="s">
        <v>68</v>
      </c>
      <c r="M132" s="6" t="s">
        <v>298</v>
      </c>
      <c r="N132" s="11" t="str">
        <f>VLOOKUP(Séparateur[[#This Row],[Puits]],Puits!$A$1:$F$267,3,FALSE)</f>
        <v>Centre</v>
      </c>
      <c r="O132" s="34">
        <f>(Séparateur[[#This Row],[Qw (sm3/j)]]/(Séparateur[[#This Row],[Qg (Msm3/j)]]*1000))*1000000</f>
        <v>1.3724848461082513</v>
      </c>
      <c r="P132" s="34">
        <f>(Séparateur[[#This Row],[Qc (sm3/j)]]/(Séparateur[[#This Row],[Qg (Msm3/j)]]*1000))*1000000</f>
        <v>11.583168811111396</v>
      </c>
      <c r="Q132" s="46">
        <v>0.746</v>
      </c>
      <c r="R132" s="46">
        <v>0.68300000000000005</v>
      </c>
      <c r="S132" s="34">
        <v>0.4</v>
      </c>
    </row>
    <row r="133" spans="1:19" x14ac:dyDescent="0.25">
      <c r="A133" s="6">
        <v>35</v>
      </c>
      <c r="B133" s="7" t="s">
        <v>175</v>
      </c>
      <c r="C133" s="8">
        <v>45363</v>
      </c>
      <c r="D133" s="7">
        <v>2095</v>
      </c>
      <c r="E133" s="42">
        <v>473.95600000000002</v>
      </c>
      <c r="F133" s="10">
        <v>7.2</v>
      </c>
      <c r="G133" s="10">
        <v>0.48</v>
      </c>
      <c r="H133" s="10">
        <v>53.365421460238345</v>
      </c>
      <c r="I133" s="10">
        <v>62.222222222222229</v>
      </c>
      <c r="J133" s="10">
        <v>89.811000000000007</v>
      </c>
      <c r="K133" s="10">
        <v>63.59806865630668</v>
      </c>
      <c r="L133" s="6" t="s">
        <v>67</v>
      </c>
      <c r="M133" s="6" t="s">
        <v>298</v>
      </c>
      <c r="N133" s="11" t="str">
        <f>VLOOKUP(Séparateur[[#This Row],[Puits]],Puits!$A$1:$F$267,3,FALSE)</f>
        <v>Centre</v>
      </c>
      <c r="O133" s="34">
        <f>(Séparateur[[#This Row],[Qw (sm3/j)]]/(Séparateur[[#This Row],[Qg (Msm3/j)]]*1000))*1000000</f>
        <v>1.0127522386044272</v>
      </c>
      <c r="P133" s="34">
        <f>(Séparateur[[#This Row],[Qc (sm3/j)]]/(Séparateur[[#This Row],[Qg (Msm3/j)]]*1000))*1000000</f>
        <v>15.191283579066411</v>
      </c>
      <c r="Q133" s="46">
        <v>0.746</v>
      </c>
      <c r="R133" s="46">
        <v>0.68300000000000005</v>
      </c>
      <c r="S133" s="34">
        <v>0.4</v>
      </c>
    </row>
    <row r="134" spans="1:19" x14ac:dyDescent="0.25">
      <c r="A134" s="6">
        <v>36</v>
      </c>
      <c r="B134" s="7" t="s">
        <v>264</v>
      </c>
      <c r="C134" s="8">
        <v>45363</v>
      </c>
      <c r="D134" s="7">
        <v>2135</v>
      </c>
      <c r="E134" s="42">
        <v>418.59100000000001</v>
      </c>
      <c r="F134" s="10">
        <v>5.17</v>
      </c>
      <c r="G134" s="10">
        <v>0.44</v>
      </c>
      <c r="H134" s="10">
        <v>36.542213661403515</v>
      </c>
      <c r="I134" s="10">
        <v>57.222222222222221</v>
      </c>
      <c r="J134" s="10">
        <v>89.100999999999999</v>
      </c>
      <c r="K134" s="10">
        <v>59.110684818686323</v>
      </c>
      <c r="L134" s="6" t="s">
        <v>67</v>
      </c>
      <c r="M134" s="6" t="s">
        <v>298</v>
      </c>
      <c r="N134" s="11" t="str">
        <f>VLOOKUP(Séparateur[[#This Row],[Puits]],Puits!$A$1:$F$267,3,FALSE)</f>
        <v>Centre</v>
      </c>
      <c r="O134" s="34">
        <f>(Séparateur[[#This Row],[Qw (sm3/j)]]/(Séparateur[[#This Row],[Qg (Msm3/j)]]*1000))*1000000</f>
        <v>1.0511453901302226</v>
      </c>
      <c r="P134" s="34">
        <f>(Séparateur[[#This Row],[Qc (sm3/j)]]/(Séparateur[[#This Row],[Qg (Msm3/j)]]*1000))*1000000</f>
        <v>12.350958334030116</v>
      </c>
      <c r="Q134" s="46">
        <v>0.73799999999999999</v>
      </c>
      <c r="R134" s="46">
        <v>0.67</v>
      </c>
      <c r="S134" s="34">
        <v>0</v>
      </c>
    </row>
    <row r="135" spans="1:19" x14ac:dyDescent="0.25">
      <c r="A135" s="6">
        <v>36</v>
      </c>
      <c r="B135" s="7" t="s">
        <v>264</v>
      </c>
      <c r="C135" s="8">
        <v>45363</v>
      </c>
      <c r="D135" s="7">
        <v>2135</v>
      </c>
      <c r="E135" s="42">
        <v>316.55799999999999</v>
      </c>
      <c r="F135" s="10">
        <v>2.976</v>
      </c>
      <c r="G135" s="10">
        <v>0.28000000000000003</v>
      </c>
      <c r="H135" s="10">
        <v>44.815922414928842</v>
      </c>
      <c r="I135" s="10">
        <v>57.777777777777779</v>
      </c>
      <c r="J135" s="10">
        <v>89.850999999999999</v>
      </c>
      <c r="K135" s="10">
        <v>61.812947045160641</v>
      </c>
      <c r="L135" s="6" t="s">
        <v>67</v>
      </c>
      <c r="M135" s="6" t="s">
        <v>298</v>
      </c>
      <c r="N135" s="11" t="str">
        <f>VLOOKUP(Séparateur[[#This Row],[Puits]],Puits!$A$1:$F$267,3,FALSE)</f>
        <v>Centre</v>
      </c>
      <c r="O135" s="34">
        <f>(Séparateur[[#This Row],[Qw (sm3/j)]]/(Séparateur[[#This Row],[Qg (Msm3/j)]]*1000))*1000000</f>
        <v>0.88451405429652707</v>
      </c>
      <c r="P135" s="34">
        <f>(Séparateur[[#This Row],[Qc (sm3/j)]]/(Séparateur[[#This Row],[Qg (Msm3/j)]]*1000))*1000000</f>
        <v>9.4011208056659434</v>
      </c>
      <c r="Q135" s="46">
        <v>0.74399999999999999</v>
      </c>
      <c r="R135" s="46">
        <v>0.67</v>
      </c>
      <c r="S135" s="34">
        <v>0</v>
      </c>
    </row>
    <row r="136" spans="1:19" x14ac:dyDescent="0.25">
      <c r="A136" s="6">
        <v>36</v>
      </c>
      <c r="B136" s="7" t="s">
        <v>264</v>
      </c>
      <c r="C136" s="8">
        <v>45364</v>
      </c>
      <c r="D136" s="7">
        <v>2135</v>
      </c>
      <c r="E136" s="42">
        <v>213.636</v>
      </c>
      <c r="F136" s="10">
        <v>2.72</v>
      </c>
      <c r="G136" s="10">
        <v>0.44</v>
      </c>
      <c r="H136" s="10">
        <v>53.020683595508125</v>
      </c>
      <c r="I136" s="10">
        <v>55</v>
      </c>
      <c r="J136" s="10">
        <v>90.474000000000004</v>
      </c>
      <c r="K136" s="10">
        <v>66.160022571835796</v>
      </c>
      <c r="L136" s="6" t="s">
        <v>67</v>
      </c>
      <c r="M136" s="6" t="s">
        <v>298</v>
      </c>
      <c r="N136" s="11" t="str">
        <f>VLOOKUP(Séparateur[[#This Row],[Puits]],Puits!$A$1:$F$267,3,FALSE)</f>
        <v>Centre</v>
      </c>
      <c r="O136" s="34">
        <f>(Séparateur[[#This Row],[Qw (sm3/j)]]/(Séparateur[[#This Row],[Qg (Msm3/j)]]*1000))*1000000</f>
        <v>2.0595779737497426</v>
      </c>
      <c r="P136" s="34">
        <f>(Séparateur[[#This Row],[Qc (sm3/j)]]/(Séparateur[[#This Row],[Qg (Msm3/j)]]*1000))*1000000</f>
        <v>12.731936564998408</v>
      </c>
      <c r="Q136" s="46">
        <v>0.749</v>
      </c>
      <c r="R136" s="46">
        <v>0.67</v>
      </c>
      <c r="S136" s="34">
        <v>0</v>
      </c>
    </row>
    <row r="137" spans="1:19" x14ac:dyDescent="0.25">
      <c r="A137" s="6">
        <v>37</v>
      </c>
      <c r="B137" s="7" t="s">
        <v>168</v>
      </c>
      <c r="C137" s="8">
        <v>45364</v>
      </c>
      <c r="D137" s="7">
        <v>2190</v>
      </c>
      <c r="E137" s="42">
        <v>881.84199999999998</v>
      </c>
      <c r="F137" s="10">
        <v>8.64</v>
      </c>
      <c r="G137" s="10">
        <v>0.72</v>
      </c>
      <c r="H137" s="10">
        <v>42.333809788871243</v>
      </c>
      <c r="I137" s="10">
        <v>53.888888888888893</v>
      </c>
      <c r="J137" s="10">
        <v>87.566999999999993</v>
      </c>
      <c r="K137" s="10">
        <v>55.416749650529049</v>
      </c>
      <c r="L137" s="6" t="s">
        <v>67</v>
      </c>
      <c r="M137" s="6" t="s">
        <v>298</v>
      </c>
      <c r="N137" s="11" t="str">
        <f>VLOOKUP(Séparateur[[#This Row],[Puits]],Puits!$A$1:$F$267,3,FALSE)</f>
        <v>Centre</v>
      </c>
      <c r="O137" s="34">
        <f>(Séparateur[[#This Row],[Qw (sm3/j)]]/(Séparateur[[#This Row],[Qg (Msm3/j)]]*1000))*1000000</f>
        <v>0.81647279217819069</v>
      </c>
      <c r="P137" s="34">
        <f>(Séparateur[[#This Row],[Qc (sm3/j)]]/(Séparateur[[#This Row],[Qg (Msm3/j)]]*1000))*1000000</f>
        <v>9.7976735061382882</v>
      </c>
      <c r="Q137" s="46">
        <v>0.77</v>
      </c>
      <c r="R137" s="46">
        <v>0.67500000000000004</v>
      </c>
      <c r="S137" s="34">
        <v>2</v>
      </c>
    </row>
    <row r="138" spans="1:19" x14ac:dyDescent="0.25">
      <c r="A138" s="6">
        <v>37</v>
      </c>
      <c r="B138" s="7" t="s">
        <v>168</v>
      </c>
      <c r="C138" s="8">
        <v>45364</v>
      </c>
      <c r="D138" s="7">
        <v>2190</v>
      </c>
      <c r="E138" s="42">
        <v>706.67399999999998</v>
      </c>
      <c r="F138" s="10">
        <v>7.2</v>
      </c>
      <c r="G138" s="10">
        <v>0.48</v>
      </c>
      <c r="H138" s="10">
        <v>47.642772905716662</v>
      </c>
      <c r="I138" s="10">
        <v>68.888888888888886</v>
      </c>
      <c r="J138" s="10">
        <v>90.021000000000001</v>
      </c>
      <c r="K138" s="10">
        <v>59.524714994227324</v>
      </c>
      <c r="L138" s="6" t="s">
        <v>68</v>
      </c>
      <c r="M138" s="6" t="s">
        <v>298</v>
      </c>
      <c r="N138" s="11" t="str">
        <f>VLOOKUP(Séparateur[[#This Row],[Puits]],Puits!$A$1:$F$267,3,FALSE)</f>
        <v>Centre</v>
      </c>
      <c r="O138" s="34">
        <f>(Séparateur[[#This Row],[Qw (sm3/j)]]/(Séparateur[[#This Row],[Qg (Msm3/j)]]*1000))*1000000</f>
        <v>0.67923823432020991</v>
      </c>
      <c r="P138" s="34">
        <f>(Séparateur[[#This Row],[Qc (sm3/j)]]/(Séparateur[[#This Row],[Qg (Msm3/j)]]*1000))*1000000</f>
        <v>10.188573514803148</v>
      </c>
      <c r="Q138" s="46">
        <v>0.76800000000000002</v>
      </c>
      <c r="R138" s="46">
        <v>0.67500000000000004</v>
      </c>
      <c r="S138" s="34">
        <v>1.8</v>
      </c>
    </row>
    <row r="139" spans="1:19" x14ac:dyDescent="0.25">
      <c r="A139" s="6">
        <v>37</v>
      </c>
      <c r="B139" s="7" t="s">
        <v>168</v>
      </c>
      <c r="C139" s="8">
        <v>45364</v>
      </c>
      <c r="D139" s="7">
        <v>2190</v>
      </c>
      <c r="E139" s="42">
        <v>528</v>
      </c>
      <c r="F139" s="10">
        <v>6.08</v>
      </c>
      <c r="G139" s="10">
        <v>0.4</v>
      </c>
      <c r="H139" s="10">
        <v>52.675945730777897</v>
      </c>
      <c r="I139" s="10">
        <v>68.333333333333343</v>
      </c>
      <c r="J139" s="10">
        <v>91.103999999999999</v>
      </c>
      <c r="K139" s="10">
        <v>63.602688143694067</v>
      </c>
      <c r="L139" s="6" t="s">
        <v>67</v>
      </c>
      <c r="M139" s="6" t="s">
        <v>298</v>
      </c>
      <c r="N139" s="11" t="str">
        <f>VLOOKUP(Séparateur[[#This Row],[Puits]],Puits!$A$1:$F$267,3,FALSE)</f>
        <v>Centre</v>
      </c>
      <c r="O139" s="34">
        <f>(Séparateur[[#This Row],[Qw (sm3/j)]]/(Séparateur[[#This Row],[Qg (Msm3/j)]]*1000))*1000000</f>
        <v>0.75757575757575757</v>
      </c>
      <c r="P139" s="34">
        <f>(Séparateur[[#This Row],[Qc (sm3/j)]]/(Séparateur[[#This Row],[Qg (Msm3/j)]]*1000))*1000000</f>
        <v>11.515151515151516</v>
      </c>
      <c r="Q139" s="46">
        <v>0.76400000000000001</v>
      </c>
      <c r="R139" s="46">
        <v>0.67700000000000005</v>
      </c>
      <c r="S139" s="34">
        <v>1.7</v>
      </c>
    </row>
    <row r="140" spans="1:19" x14ac:dyDescent="0.25">
      <c r="A140" s="6">
        <v>38</v>
      </c>
      <c r="B140" s="7" t="s">
        <v>183</v>
      </c>
      <c r="C140" s="8">
        <v>45365</v>
      </c>
      <c r="D140" s="7">
        <v>2105</v>
      </c>
      <c r="E140" s="42">
        <v>903.13400000000001</v>
      </c>
      <c r="F140" s="10">
        <v>7.2</v>
      </c>
      <c r="G140" s="10">
        <v>0.96</v>
      </c>
      <c r="H140" s="10">
        <v>43.781708820738174</v>
      </c>
      <c r="I140" s="10">
        <v>68.333333333333343</v>
      </c>
      <c r="J140" s="10">
        <v>86.766999999999996</v>
      </c>
      <c r="K140" s="10">
        <v>56.971586368035304</v>
      </c>
      <c r="L140" s="6" t="s">
        <v>67</v>
      </c>
      <c r="M140" s="6" t="s">
        <v>298</v>
      </c>
      <c r="N140" s="11" t="str">
        <f>VLOOKUP(Séparateur[[#This Row],[Puits]],Puits!$A$1:$F$267,3,FALSE)</f>
        <v>Centre</v>
      </c>
      <c r="O140" s="34">
        <f>(Séparateur[[#This Row],[Qw (sm3/j)]]/(Séparateur[[#This Row],[Qg (Msm3/j)]]*1000))*1000000</f>
        <v>1.0629651856756583</v>
      </c>
      <c r="P140" s="34">
        <f>(Séparateur[[#This Row],[Qc (sm3/j)]]/(Séparateur[[#This Row],[Qg (Msm3/j)]]*1000))*1000000</f>
        <v>7.9722388925674377</v>
      </c>
      <c r="Q140" s="46">
        <v>0.75900000000000001</v>
      </c>
      <c r="R140" s="46">
        <v>0.67100000000000004</v>
      </c>
      <c r="S140" s="34">
        <v>0.5</v>
      </c>
    </row>
    <row r="141" spans="1:19" x14ac:dyDescent="0.25">
      <c r="A141" s="6">
        <v>38</v>
      </c>
      <c r="B141" s="7" t="s">
        <v>183</v>
      </c>
      <c r="C141" s="8">
        <v>45365</v>
      </c>
      <c r="D141" s="7">
        <v>2105</v>
      </c>
      <c r="E141" s="42">
        <v>720.75900000000001</v>
      </c>
      <c r="F141" s="10">
        <v>5.76</v>
      </c>
      <c r="G141" s="10">
        <v>0.84</v>
      </c>
      <c r="H141" s="10">
        <v>48.952776791691505</v>
      </c>
      <c r="I141" s="10">
        <v>68.888888888888886</v>
      </c>
      <c r="J141" s="10">
        <v>87.808999999999997</v>
      </c>
      <c r="K141" s="10">
        <v>60.540036953430771</v>
      </c>
      <c r="L141" s="6" t="s">
        <v>68</v>
      </c>
      <c r="M141" s="6" t="s">
        <v>298</v>
      </c>
      <c r="N141" s="11" t="str">
        <f>VLOOKUP(Séparateur[[#This Row],[Puits]],Puits!$A$1:$F$267,3,FALSE)</f>
        <v>Centre</v>
      </c>
      <c r="O141" s="34">
        <f>(Séparateur[[#This Row],[Qw (sm3/j)]]/(Séparateur[[#This Row],[Qg (Msm3/j)]]*1000))*1000000</f>
        <v>1.1654381006688783</v>
      </c>
      <c r="P141" s="34">
        <f>(Séparateur[[#This Row],[Qc (sm3/j)]]/(Séparateur[[#This Row],[Qg (Msm3/j)]]*1000))*1000000</f>
        <v>7.9915755474437358</v>
      </c>
      <c r="Q141" s="46">
        <v>0.76</v>
      </c>
      <c r="R141" s="46">
        <v>0.67200000000000004</v>
      </c>
      <c r="S141" s="34">
        <v>0.3</v>
      </c>
    </row>
    <row r="142" spans="1:19" x14ac:dyDescent="0.25">
      <c r="A142" s="6">
        <v>38</v>
      </c>
      <c r="B142" s="7" t="s">
        <v>183</v>
      </c>
      <c r="C142" s="8">
        <v>45365</v>
      </c>
      <c r="D142" s="7">
        <v>2105</v>
      </c>
      <c r="E142" s="42">
        <v>546.86800000000005</v>
      </c>
      <c r="F142" s="10">
        <v>3.36</v>
      </c>
      <c r="G142" s="10">
        <v>0.64</v>
      </c>
      <c r="H142" s="10">
        <v>52.400155438993721</v>
      </c>
      <c r="I142" s="10">
        <v>68.888888888888886</v>
      </c>
      <c r="J142" s="10">
        <v>88.460999999999999</v>
      </c>
      <c r="K142" s="10">
        <v>63.029526969793601</v>
      </c>
      <c r="L142" s="6" t="s">
        <v>67</v>
      </c>
      <c r="M142" s="6" t="s">
        <v>298</v>
      </c>
      <c r="N142" s="11" t="str">
        <f>VLOOKUP(Séparateur[[#This Row],[Puits]],Puits!$A$1:$F$267,3,FALSE)</f>
        <v>Centre</v>
      </c>
      <c r="O142" s="34">
        <f>(Séparateur[[#This Row],[Qw (sm3/j)]]/(Séparateur[[#This Row],[Qg (Msm3/j)]]*1000))*1000000</f>
        <v>1.1703006941345993</v>
      </c>
      <c r="P142" s="34">
        <f>(Séparateur[[#This Row],[Qc (sm3/j)]]/(Séparateur[[#This Row],[Qg (Msm3/j)]]*1000))*1000000</f>
        <v>6.1440786442066457</v>
      </c>
      <c r="Q142" s="46">
        <v>0.76</v>
      </c>
      <c r="R142" s="46">
        <v>0.67500000000000004</v>
      </c>
      <c r="S142" s="34">
        <v>2</v>
      </c>
    </row>
    <row r="143" spans="1:19" x14ac:dyDescent="0.25">
      <c r="A143" s="6">
        <v>39</v>
      </c>
      <c r="B143" s="7" t="s">
        <v>176</v>
      </c>
      <c r="C143" s="8">
        <v>45365</v>
      </c>
      <c r="D143" s="7">
        <v>2170</v>
      </c>
      <c r="E143" s="42">
        <v>356.42200000000003</v>
      </c>
      <c r="F143" s="10">
        <v>1.1160000000000001</v>
      </c>
      <c r="G143" s="10">
        <v>0</v>
      </c>
      <c r="H143" s="10">
        <v>35.990633077835163</v>
      </c>
      <c r="I143" s="10">
        <v>52.222222222222221</v>
      </c>
      <c r="J143" s="10">
        <v>87.531000000000006</v>
      </c>
      <c r="K143" s="10">
        <v>47.174549937840069</v>
      </c>
      <c r="L143" s="6" t="s">
        <v>67</v>
      </c>
      <c r="M143" s="6" t="s">
        <v>298</v>
      </c>
      <c r="N143" s="11" t="str">
        <f>VLOOKUP(Séparateur[[#This Row],[Puits]],Puits!$A$1:$F$267,3,FALSE)</f>
        <v>Centre</v>
      </c>
      <c r="O143" s="34">
        <f>(Séparateur[[#This Row],[Qw (sm3/j)]]/(Séparateur[[#This Row],[Qg (Msm3/j)]]*1000))*1000000</f>
        <v>0</v>
      </c>
      <c r="P143" s="34">
        <f>(Séparateur[[#This Row],[Qc (sm3/j)]]/(Séparateur[[#This Row],[Qg (Msm3/j)]]*1000))*1000000</f>
        <v>3.1311198523099026</v>
      </c>
      <c r="Q143" s="46">
        <v>0.71199999999999997</v>
      </c>
      <c r="R143" s="46">
        <v>0.67</v>
      </c>
      <c r="S143" s="34">
        <v>0</v>
      </c>
    </row>
    <row r="144" spans="1:19" x14ac:dyDescent="0.25">
      <c r="A144" s="6">
        <v>39</v>
      </c>
      <c r="B144" s="7" t="s">
        <v>176</v>
      </c>
      <c r="C144" s="8">
        <v>45366</v>
      </c>
      <c r="D144" s="7">
        <v>2170</v>
      </c>
      <c r="E144" s="42">
        <v>271.51299999999998</v>
      </c>
      <c r="F144" s="10">
        <v>2.23</v>
      </c>
      <c r="G144" s="10">
        <v>0</v>
      </c>
      <c r="H144" s="10">
        <v>41.023805902896399</v>
      </c>
      <c r="I144" s="10">
        <v>56.111111111111114</v>
      </c>
      <c r="J144" s="10">
        <v>88.331000000000003</v>
      </c>
      <c r="K144" s="10">
        <v>51.407655126435415</v>
      </c>
      <c r="L144" s="6" t="s">
        <v>67</v>
      </c>
      <c r="M144" s="6" t="s">
        <v>298</v>
      </c>
      <c r="N144" s="11" t="str">
        <f>VLOOKUP(Séparateur[[#This Row],[Puits]],Puits!$A$1:$F$267,3,FALSE)</f>
        <v>Centre</v>
      </c>
      <c r="O144" s="34">
        <f>(Séparateur[[#This Row],[Qw (sm3/j)]]/(Séparateur[[#This Row],[Qg (Msm3/j)]]*1000))*1000000</f>
        <v>0</v>
      </c>
      <c r="P144" s="34">
        <f>(Séparateur[[#This Row],[Qc (sm3/j)]]/(Séparateur[[#This Row],[Qg (Msm3/j)]]*1000))*1000000</f>
        <v>8.2132347254090963</v>
      </c>
      <c r="Q144" s="46">
        <v>0.72799999999999998</v>
      </c>
      <c r="R144" s="46">
        <v>0.67</v>
      </c>
      <c r="S144" s="34">
        <v>0</v>
      </c>
    </row>
    <row r="145" spans="1:19" x14ac:dyDescent="0.25">
      <c r="A145" s="6">
        <v>39</v>
      </c>
      <c r="B145" s="7" t="s">
        <v>176</v>
      </c>
      <c r="C145" s="8">
        <v>45366</v>
      </c>
      <c r="D145" s="7">
        <v>2170</v>
      </c>
      <c r="E145" s="42">
        <v>183.46700000000001</v>
      </c>
      <c r="F145" s="10">
        <v>2.79</v>
      </c>
      <c r="G145" s="10">
        <v>0</v>
      </c>
      <c r="H145" s="10">
        <v>45.505398144389282</v>
      </c>
      <c r="I145" s="10">
        <v>58.888888888888893</v>
      </c>
      <c r="J145" s="10">
        <v>89.453000000000003</v>
      </c>
      <c r="K145" s="10">
        <v>55.088352360587045</v>
      </c>
      <c r="L145" s="6" t="s">
        <v>67</v>
      </c>
      <c r="M145" s="6" t="s">
        <v>298</v>
      </c>
      <c r="N145" s="11" t="str">
        <f>VLOOKUP(Séparateur[[#This Row],[Puits]],Puits!$A$1:$F$267,3,FALSE)</f>
        <v>Centre</v>
      </c>
      <c r="O145" s="34">
        <f>(Séparateur[[#This Row],[Qw (sm3/j)]]/(Séparateur[[#This Row],[Qg (Msm3/j)]]*1000))*1000000</f>
        <v>0</v>
      </c>
      <c r="P145" s="34">
        <f>(Séparateur[[#This Row],[Qc (sm3/j)]]/(Séparateur[[#This Row],[Qg (Msm3/j)]]*1000))*1000000</f>
        <v>15.207094463854535</v>
      </c>
      <c r="Q145" s="46">
        <v>0.72899999999999998</v>
      </c>
      <c r="R145" s="46">
        <v>0.67</v>
      </c>
      <c r="S145" s="34">
        <v>0</v>
      </c>
    </row>
    <row r="146" spans="1:19" x14ac:dyDescent="0.25">
      <c r="A146" s="6">
        <v>40</v>
      </c>
      <c r="B146" s="7" t="s">
        <v>109</v>
      </c>
      <c r="C146" s="8">
        <v>45366</v>
      </c>
      <c r="D146" s="7">
        <v>2120</v>
      </c>
      <c r="E146" s="42">
        <v>898.19299999999998</v>
      </c>
      <c r="F146" s="10">
        <v>12.12</v>
      </c>
      <c r="G146" s="10">
        <v>0.78</v>
      </c>
      <c r="H146" s="10">
        <v>43.436970956007954</v>
      </c>
      <c r="I146" s="10">
        <v>56.666666666666671</v>
      </c>
      <c r="J146" s="10">
        <v>87.561000000000007</v>
      </c>
      <c r="K146" s="10">
        <v>56.247705799674783</v>
      </c>
      <c r="L146" s="6" t="s">
        <v>67</v>
      </c>
      <c r="M146" s="6" t="s">
        <v>298</v>
      </c>
      <c r="N146" s="11" t="str">
        <f>VLOOKUP(Séparateur[[#This Row],[Puits]],Puits!$A$1:$F$267,3,FALSE)</f>
        <v>Centre</v>
      </c>
      <c r="O146" s="34">
        <f>(Séparateur[[#This Row],[Qw (sm3/j)]]/(Séparateur[[#This Row],[Qg (Msm3/j)]]*1000))*1000000</f>
        <v>0.86841024145144752</v>
      </c>
      <c r="P146" s="34">
        <f>(Séparateur[[#This Row],[Qc (sm3/j)]]/(Séparateur[[#This Row],[Qg (Msm3/j)]]*1000))*1000000</f>
        <v>13.493759136399413</v>
      </c>
      <c r="Q146" s="46">
        <v>0.74399999999999999</v>
      </c>
      <c r="R146" s="46">
        <v>0.68100000000000005</v>
      </c>
      <c r="S146" s="34">
        <v>0.9</v>
      </c>
    </row>
    <row r="147" spans="1:19" x14ac:dyDescent="0.25">
      <c r="A147" s="6">
        <v>40</v>
      </c>
      <c r="B147" s="7" t="s">
        <v>109</v>
      </c>
      <c r="C147" s="8">
        <v>45366</v>
      </c>
      <c r="D147" s="7">
        <v>2120</v>
      </c>
      <c r="E147" s="42">
        <v>714.06500000000005</v>
      </c>
      <c r="F147" s="10">
        <v>9.6</v>
      </c>
      <c r="G147" s="10">
        <v>0.65</v>
      </c>
      <c r="H147" s="10">
        <v>48.263301062231058</v>
      </c>
      <c r="I147" s="10">
        <v>62.222222222222229</v>
      </c>
      <c r="J147" s="10">
        <v>88.777000000000001</v>
      </c>
      <c r="K147" s="10">
        <v>59.966462094092634</v>
      </c>
      <c r="L147" s="6" t="s">
        <v>68</v>
      </c>
      <c r="M147" s="6" t="s">
        <v>298</v>
      </c>
      <c r="N147" s="11" t="str">
        <f>VLOOKUP(Séparateur[[#This Row],[Puits]],Puits!$A$1:$F$267,3,FALSE)</f>
        <v>Centre</v>
      </c>
      <c r="O147" s="34">
        <f>(Séparateur[[#This Row],[Qw (sm3/j)]]/(Séparateur[[#This Row],[Qg (Msm3/j)]]*1000))*1000000</f>
        <v>0.91028127691456662</v>
      </c>
      <c r="P147" s="34">
        <f>(Séparateur[[#This Row],[Qc (sm3/j)]]/(Séparateur[[#This Row],[Qg (Msm3/j)]]*1000))*1000000</f>
        <v>13.444154243661291</v>
      </c>
      <c r="Q147" s="46">
        <v>0.745</v>
      </c>
      <c r="R147" s="46">
        <v>0.68300000000000005</v>
      </c>
      <c r="S147" s="34">
        <v>0.2</v>
      </c>
    </row>
    <row r="148" spans="1:19" x14ac:dyDescent="0.25">
      <c r="A148" s="6">
        <v>40</v>
      </c>
      <c r="B148" s="7" t="s">
        <v>109</v>
      </c>
      <c r="C148" s="8">
        <v>45366</v>
      </c>
      <c r="D148" s="7">
        <v>2120</v>
      </c>
      <c r="E148" s="42">
        <v>551.61099999999999</v>
      </c>
      <c r="F148" s="10">
        <v>8</v>
      </c>
      <c r="G148" s="10">
        <v>0.56000000000000005</v>
      </c>
      <c r="H148" s="10">
        <v>51.917522428371413</v>
      </c>
      <c r="I148" s="10">
        <v>65</v>
      </c>
      <c r="J148" s="10">
        <v>89.555999999999997</v>
      </c>
      <c r="K148" s="10">
        <v>62.911971357920592</v>
      </c>
      <c r="L148" s="6" t="s">
        <v>67</v>
      </c>
      <c r="M148" s="6" t="s">
        <v>298</v>
      </c>
      <c r="N148" s="11" t="str">
        <f>VLOOKUP(Séparateur[[#This Row],[Puits]],Puits!$A$1:$F$267,3,FALSE)</f>
        <v>Centre</v>
      </c>
      <c r="O148" s="34">
        <f>(Séparateur[[#This Row],[Qw (sm3/j)]]/(Séparateur[[#This Row],[Qg (Msm3/j)]]*1000))*1000000</f>
        <v>1.0152081811276426</v>
      </c>
      <c r="P148" s="34">
        <f>(Séparateur[[#This Row],[Qc (sm3/j)]]/(Séparateur[[#This Row],[Qg (Msm3/j)]]*1000))*1000000</f>
        <v>14.502974016109178</v>
      </c>
      <c r="Q148" s="46">
        <v>0.745</v>
      </c>
      <c r="R148" s="46">
        <v>0.68300000000000005</v>
      </c>
      <c r="S148" s="34">
        <v>0.2</v>
      </c>
    </row>
    <row r="149" spans="1:19" x14ac:dyDescent="0.25">
      <c r="A149" s="6">
        <v>41</v>
      </c>
      <c r="B149" s="7" t="s">
        <v>249</v>
      </c>
      <c r="C149" s="8">
        <v>45367</v>
      </c>
      <c r="D149" s="7">
        <v>2170</v>
      </c>
      <c r="E149" s="42">
        <v>344.79199999999997</v>
      </c>
      <c r="F149" s="10">
        <v>4.78</v>
      </c>
      <c r="G149" s="10">
        <v>0.48</v>
      </c>
      <c r="H149" s="10">
        <v>39.300116579245291</v>
      </c>
      <c r="I149" s="10">
        <v>66.666666666666671</v>
      </c>
      <c r="J149" s="10">
        <v>87.424999999999997</v>
      </c>
      <c r="K149" s="10">
        <v>48.618243167757299</v>
      </c>
      <c r="L149" s="6" t="s">
        <v>67</v>
      </c>
      <c r="M149" s="6" t="s">
        <v>298</v>
      </c>
      <c r="N149" s="11" t="str">
        <f>VLOOKUP(Séparateur[[#This Row],[Puits]],Puits!$A$1:$F$267,3,FALSE)</f>
        <v>Centre</v>
      </c>
      <c r="O149" s="34">
        <f>(Séparateur[[#This Row],[Qw (sm3/j)]]/(Séparateur[[#This Row],[Qg (Msm3/j)]]*1000))*1000000</f>
        <v>1.3921436692266642</v>
      </c>
      <c r="P149" s="34">
        <f>(Séparateur[[#This Row],[Qc (sm3/j)]]/(Séparateur[[#This Row],[Qg (Msm3/j)]]*1000))*1000000</f>
        <v>13.863430706048865</v>
      </c>
      <c r="Q149" s="46">
        <v>0.72</v>
      </c>
      <c r="R149" s="46">
        <v>0.67</v>
      </c>
      <c r="S149" s="34">
        <v>0</v>
      </c>
    </row>
    <row r="150" spans="1:19" x14ac:dyDescent="0.25">
      <c r="A150" s="6">
        <v>41</v>
      </c>
      <c r="B150" s="7" t="s">
        <v>249</v>
      </c>
      <c r="C150" s="8">
        <v>45368</v>
      </c>
      <c r="D150" s="7">
        <v>2170</v>
      </c>
      <c r="E150" s="42">
        <v>262.60899999999998</v>
      </c>
      <c r="F150" s="10">
        <v>4.46</v>
      </c>
      <c r="G150" s="10">
        <v>3.8399999999999997E-2</v>
      </c>
      <c r="H150" s="10">
        <v>44.678027269036754</v>
      </c>
      <c r="I150" s="10">
        <v>58.333333333333336</v>
      </c>
      <c r="J150" s="10">
        <v>88.399000000000001</v>
      </c>
      <c r="K150" s="10">
        <v>53.881769834031275</v>
      </c>
      <c r="L150" s="6" t="s">
        <v>67</v>
      </c>
      <c r="M150" s="6" t="s">
        <v>298</v>
      </c>
      <c r="N150" s="11" t="str">
        <f>VLOOKUP(Séparateur[[#This Row],[Puits]],Puits!$A$1:$F$267,3,FALSE)</f>
        <v>Centre</v>
      </c>
      <c r="O150" s="34">
        <f>(Séparateur[[#This Row],[Qw (sm3/j)]]/(Séparateur[[#This Row],[Qg (Msm3/j)]]*1000))*1000000</f>
        <v>0.14622499609685882</v>
      </c>
      <c r="P150" s="34">
        <f>(Séparateur[[#This Row],[Qc (sm3/j)]]/(Séparateur[[#This Row],[Qg (Msm3/j)]]*1000))*1000000</f>
        <v>16.983424025833081</v>
      </c>
      <c r="Q150" s="46">
        <v>0.73299999999999998</v>
      </c>
      <c r="R150" s="46">
        <v>0.67</v>
      </c>
      <c r="S150" s="34">
        <v>0</v>
      </c>
    </row>
    <row r="151" spans="1:19" x14ac:dyDescent="0.25">
      <c r="A151" s="6">
        <v>41</v>
      </c>
      <c r="B151" s="7" t="s">
        <v>249</v>
      </c>
      <c r="C151" s="8">
        <v>45368</v>
      </c>
      <c r="D151" s="7">
        <v>2170</v>
      </c>
      <c r="E151" s="42">
        <v>188.86799999999999</v>
      </c>
      <c r="F151" s="10">
        <v>2.23</v>
      </c>
      <c r="G151" s="10">
        <v>0</v>
      </c>
      <c r="H151" s="10">
        <v>48.194353489285014</v>
      </c>
      <c r="I151" s="10">
        <v>61.111111111111114</v>
      </c>
      <c r="J151" s="10">
        <v>89.611000000000004</v>
      </c>
      <c r="K151" s="10">
        <v>57.427812458219272</v>
      </c>
      <c r="L151" s="6" t="s">
        <v>67</v>
      </c>
      <c r="M151" s="6" t="s">
        <v>298</v>
      </c>
      <c r="N151" s="11" t="str">
        <f>VLOOKUP(Séparateur[[#This Row],[Puits]],Puits!$A$1:$F$267,3,FALSE)</f>
        <v>Centre</v>
      </c>
      <c r="O151" s="34">
        <f>(Séparateur[[#This Row],[Qw (sm3/j)]]/(Séparateur[[#This Row],[Qg (Msm3/j)]]*1000))*1000000</f>
        <v>0</v>
      </c>
      <c r="P151" s="34">
        <f>(Séparateur[[#This Row],[Qc (sm3/j)]]/(Séparateur[[#This Row],[Qg (Msm3/j)]]*1000))*1000000</f>
        <v>11.80718808903573</v>
      </c>
      <c r="Q151" s="46">
        <v>0.73299999999999998</v>
      </c>
      <c r="R151" s="46">
        <v>0.67</v>
      </c>
      <c r="S151" s="34">
        <v>0</v>
      </c>
    </row>
    <row r="152" spans="1:19" x14ac:dyDescent="0.25">
      <c r="A152" s="6">
        <v>42</v>
      </c>
      <c r="B152" s="7" t="s">
        <v>260</v>
      </c>
      <c r="C152" s="8">
        <v>45367</v>
      </c>
      <c r="D152" s="7">
        <v>2070</v>
      </c>
      <c r="E152" s="42">
        <v>832.53700000000003</v>
      </c>
      <c r="F152" s="10">
        <v>11.04</v>
      </c>
      <c r="G152" s="10">
        <v>0.78</v>
      </c>
      <c r="H152" s="10">
        <v>41.230648621734531</v>
      </c>
      <c r="I152" s="10">
        <v>62.222222222222229</v>
      </c>
      <c r="J152" s="10">
        <v>85.822999999999993</v>
      </c>
      <c r="K152" s="10">
        <v>53.169472457925686</v>
      </c>
      <c r="L152" s="6" t="s">
        <v>67</v>
      </c>
      <c r="M152" s="6" t="s">
        <v>298</v>
      </c>
      <c r="N152" s="11" t="str">
        <f>VLOOKUP(Séparateur[[#This Row],[Puits]],Puits!$A$1:$F$267,3,FALSE)</f>
        <v>Centre</v>
      </c>
      <c r="O152" s="34">
        <f>(Séparateur[[#This Row],[Qw (sm3/j)]]/(Séparateur[[#This Row],[Qg (Msm3/j)]]*1000))*1000000</f>
        <v>0.93689529714595277</v>
      </c>
      <c r="P152" s="34">
        <f>(Séparateur[[#This Row],[Qc (sm3/j)]]/(Séparateur[[#This Row],[Qg (Msm3/j)]]*1000))*1000000</f>
        <v>13.260671898065791</v>
      </c>
      <c r="Q152" s="46">
        <v>0.748</v>
      </c>
      <c r="R152" s="46">
        <v>0.68799999999999994</v>
      </c>
      <c r="S152" s="34">
        <v>1.5</v>
      </c>
    </row>
    <row r="153" spans="1:19" x14ac:dyDescent="0.25">
      <c r="A153" s="6">
        <v>42</v>
      </c>
      <c r="B153" s="7" t="s">
        <v>260</v>
      </c>
      <c r="C153" s="8">
        <v>45367</v>
      </c>
      <c r="D153" s="7">
        <v>2070</v>
      </c>
      <c r="E153" s="42">
        <v>655.42</v>
      </c>
      <c r="F153" s="10">
        <v>9.1199999999999992</v>
      </c>
      <c r="G153" s="10">
        <v>0.6</v>
      </c>
      <c r="H153" s="10">
        <v>46.746454457418082</v>
      </c>
      <c r="I153" s="10">
        <v>65.555555555555557</v>
      </c>
      <c r="J153" s="10">
        <v>87.2</v>
      </c>
      <c r="K153" s="10">
        <v>57.600043495438499</v>
      </c>
      <c r="L153" s="6" t="s">
        <v>68</v>
      </c>
      <c r="M153" s="6" t="s">
        <v>298</v>
      </c>
      <c r="N153" s="11" t="str">
        <f>VLOOKUP(Séparateur[[#This Row],[Puits]],Puits!$A$1:$F$267,3,FALSE)</f>
        <v>Centre</v>
      </c>
      <c r="O153" s="34">
        <f>(Séparateur[[#This Row],[Qw (sm3/j)]]/(Séparateur[[#This Row],[Qg (Msm3/j)]]*1000))*1000000</f>
        <v>0.9154435323914436</v>
      </c>
      <c r="P153" s="34">
        <f>(Séparateur[[#This Row],[Qc (sm3/j)]]/(Séparateur[[#This Row],[Qg (Msm3/j)]]*1000))*1000000</f>
        <v>13.914741692349944</v>
      </c>
      <c r="Q153" s="46">
        <v>0.748</v>
      </c>
      <c r="R153" s="46">
        <v>0.69099999999999995</v>
      </c>
      <c r="S153" s="34">
        <v>1.2</v>
      </c>
    </row>
    <row r="154" spans="1:19" x14ac:dyDescent="0.25">
      <c r="A154" s="6">
        <v>42</v>
      </c>
      <c r="B154" s="7" t="s">
        <v>260</v>
      </c>
      <c r="C154" s="8">
        <v>45367</v>
      </c>
      <c r="D154" s="7">
        <v>2070</v>
      </c>
      <c r="E154" s="42">
        <v>495.47</v>
      </c>
      <c r="F154" s="10">
        <v>7.68</v>
      </c>
      <c r="G154" s="10">
        <v>0.51</v>
      </c>
      <c r="H154" s="10">
        <v>50.607518542396569</v>
      </c>
      <c r="I154" s="10">
        <v>64.444444444444443</v>
      </c>
      <c r="J154" s="10">
        <v>88.094999999999999</v>
      </c>
      <c r="K154" s="10">
        <v>60.801210359750385</v>
      </c>
      <c r="L154" s="6" t="s">
        <v>67</v>
      </c>
      <c r="M154" s="6" t="s">
        <v>298</v>
      </c>
      <c r="N154" s="11" t="str">
        <f>VLOOKUP(Séparateur[[#This Row],[Puits]],Puits!$A$1:$F$267,3,FALSE)</f>
        <v>Centre</v>
      </c>
      <c r="O154" s="34">
        <f>(Séparateur[[#This Row],[Qw (sm3/j)]]/(Séparateur[[#This Row],[Qg (Msm3/j)]]*1000))*1000000</f>
        <v>1.02932569075827</v>
      </c>
      <c r="P154" s="34">
        <f>(Séparateur[[#This Row],[Qc (sm3/j)]]/(Séparateur[[#This Row],[Qg (Msm3/j)]]*1000))*1000000</f>
        <v>15.500433931418653</v>
      </c>
      <c r="Q154" s="46">
        <v>0.749</v>
      </c>
      <c r="R154" s="46">
        <v>0.69099999999999995</v>
      </c>
      <c r="S154" s="34">
        <v>1</v>
      </c>
    </row>
    <row r="155" spans="1:19" x14ac:dyDescent="0.25">
      <c r="A155" s="6">
        <v>43</v>
      </c>
      <c r="B155" s="7" t="s">
        <v>96</v>
      </c>
      <c r="C155" s="8">
        <v>45371</v>
      </c>
      <c r="D155" s="7">
        <v>2080</v>
      </c>
      <c r="E155" s="42">
        <v>601.28800000000001</v>
      </c>
      <c r="F155" s="10">
        <v>5.16</v>
      </c>
      <c r="G155" s="10">
        <v>0.6</v>
      </c>
      <c r="H155" s="10">
        <v>36.818003953187691</v>
      </c>
      <c r="I155" s="10">
        <v>54.44444444444445</v>
      </c>
      <c r="J155" s="10">
        <v>82.637</v>
      </c>
      <c r="K155" s="10">
        <v>45.945628397649777</v>
      </c>
      <c r="L155" s="6" t="s">
        <v>67</v>
      </c>
      <c r="M155" s="6" t="s">
        <v>298</v>
      </c>
      <c r="N155" s="11" t="str">
        <f>VLOOKUP(Séparateur[[#This Row],[Puits]],Puits!$A$1:$F$267,3,FALSE)</f>
        <v>Centre</v>
      </c>
      <c r="O155" s="34">
        <f>(Séparateur[[#This Row],[Qw (sm3/j)]]/(Séparateur[[#This Row],[Qg (Msm3/j)]]*1000))*1000000</f>
        <v>0.9978579316400793</v>
      </c>
      <c r="P155" s="34">
        <f>(Séparateur[[#This Row],[Qc (sm3/j)]]/(Séparateur[[#This Row],[Qg (Msm3/j)]]*1000))*1000000</f>
        <v>8.5815782121046826</v>
      </c>
      <c r="Q155" s="46">
        <v>0.76200000000000001</v>
      </c>
      <c r="R155" s="46">
        <v>0.68500000000000005</v>
      </c>
      <c r="S155" s="34">
        <v>0.4</v>
      </c>
    </row>
    <row r="156" spans="1:19" x14ac:dyDescent="0.25">
      <c r="A156" s="6">
        <v>43</v>
      </c>
      <c r="B156" s="7" t="s">
        <v>96</v>
      </c>
      <c r="C156" s="8">
        <v>45371</v>
      </c>
      <c r="D156" s="7">
        <v>2080</v>
      </c>
      <c r="E156" s="42">
        <v>460.48099999999999</v>
      </c>
      <c r="F156" s="10">
        <v>3.6</v>
      </c>
      <c r="G156" s="10">
        <v>0.36</v>
      </c>
      <c r="H156" s="10">
        <v>44.057499112522351</v>
      </c>
      <c r="I156" s="10">
        <v>57.777777777777779</v>
      </c>
      <c r="J156" s="10">
        <v>83.34</v>
      </c>
      <c r="K156" s="10">
        <v>52.838455160211723</v>
      </c>
      <c r="L156" s="6" t="s">
        <v>68</v>
      </c>
      <c r="M156" s="6" t="s">
        <v>298</v>
      </c>
      <c r="N156" s="11" t="str">
        <f>VLOOKUP(Séparateur[[#This Row],[Puits]],Puits!$A$1:$F$267,3,FALSE)</f>
        <v>Centre</v>
      </c>
      <c r="O156" s="34">
        <f>(Séparateur[[#This Row],[Qw (sm3/j)]]/(Séparateur[[#This Row],[Qg (Msm3/j)]]*1000))*1000000</f>
        <v>0.78179121396974038</v>
      </c>
      <c r="P156" s="34">
        <f>(Séparateur[[#This Row],[Qc (sm3/j)]]/(Séparateur[[#This Row],[Qg (Msm3/j)]]*1000))*1000000</f>
        <v>7.8179121396974027</v>
      </c>
      <c r="Q156" s="46">
        <v>0.76300000000000001</v>
      </c>
      <c r="R156" s="46">
        <v>0.68700000000000006</v>
      </c>
      <c r="S156" s="34">
        <v>0.4</v>
      </c>
    </row>
    <row r="157" spans="1:19" x14ac:dyDescent="0.25">
      <c r="A157" s="6">
        <v>43</v>
      </c>
      <c r="B157" s="7" t="s">
        <v>96</v>
      </c>
      <c r="C157" s="8">
        <v>45371</v>
      </c>
      <c r="D157" s="7">
        <v>2080</v>
      </c>
      <c r="E157" s="42">
        <v>319.83699999999999</v>
      </c>
      <c r="F157" s="10">
        <v>2.72</v>
      </c>
      <c r="G157" s="10">
        <v>0.24</v>
      </c>
      <c r="H157" s="10">
        <v>49.642252521151946</v>
      </c>
      <c r="I157" s="10">
        <v>59.44444444444445</v>
      </c>
      <c r="J157" s="10">
        <v>85.69</v>
      </c>
      <c r="K157" s="10">
        <v>58.55579475161656</v>
      </c>
      <c r="L157" s="6" t="s">
        <v>68</v>
      </c>
      <c r="M157" s="6" t="s">
        <v>298</v>
      </c>
      <c r="N157" s="11" t="str">
        <f>VLOOKUP(Séparateur[[#This Row],[Puits]],Puits!$A$1:$F$267,3,FALSE)</f>
        <v>Centre</v>
      </c>
      <c r="O157" s="34">
        <f>(Séparateur[[#This Row],[Qw (sm3/j)]]/(Séparateur[[#This Row],[Qg (Msm3/j)]]*1000))*1000000</f>
        <v>0.75038222594634141</v>
      </c>
      <c r="P157" s="34">
        <f>(Séparateur[[#This Row],[Qc (sm3/j)]]/(Séparateur[[#This Row],[Qg (Msm3/j)]]*1000))*1000000</f>
        <v>8.5043318940585362</v>
      </c>
      <c r="Q157" s="46">
        <v>0.76500000000000001</v>
      </c>
      <c r="R157" s="46">
        <v>0.68799999999999994</v>
      </c>
      <c r="S157" s="34">
        <v>0.4</v>
      </c>
    </row>
    <row r="158" spans="1:19" x14ac:dyDescent="0.25">
      <c r="A158" s="6">
        <v>44</v>
      </c>
      <c r="B158" s="7" t="s">
        <v>141</v>
      </c>
      <c r="C158" s="8">
        <v>45373</v>
      </c>
      <c r="D158" s="7">
        <v>2130</v>
      </c>
      <c r="E158" s="42">
        <v>871.10699999999997</v>
      </c>
      <c r="F158" s="10">
        <v>5.88</v>
      </c>
      <c r="G158" s="10">
        <v>0.72</v>
      </c>
      <c r="H158" s="10">
        <v>44.60907969609071</v>
      </c>
      <c r="I158" s="10">
        <v>52.222222222222221</v>
      </c>
      <c r="J158" s="10">
        <v>87.334000000000003</v>
      </c>
      <c r="K158" s="10">
        <v>57.348453801758382</v>
      </c>
      <c r="L158" s="6" t="s">
        <v>67</v>
      </c>
      <c r="M158" s="6" t="s">
        <v>298</v>
      </c>
      <c r="N158" s="11" t="str">
        <f>VLOOKUP(Séparateur[[#This Row],[Puits]],Puits!$A$1:$F$267,3,FALSE)</f>
        <v>Centre</v>
      </c>
      <c r="O158" s="34">
        <f>(Séparateur[[#This Row],[Qw (sm3/j)]]/(Séparateur[[#This Row],[Qg (Msm3/j)]]*1000))*1000000</f>
        <v>0.82653451298175762</v>
      </c>
      <c r="P158" s="34">
        <f>(Séparateur[[#This Row],[Qc (sm3/j)]]/(Séparateur[[#This Row],[Qg (Msm3/j)]]*1000))*1000000</f>
        <v>6.7500318560176877</v>
      </c>
      <c r="Q158" s="46" t="s">
        <v>333</v>
      </c>
      <c r="R158" s="46">
        <v>0.68200000000000005</v>
      </c>
      <c r="S158" s="34">
        <v>0.1</v>
      </c>
    </row>
    <row r="159" spans="1:19" x14ac:dyDescent="0.25">
      <c r="A159" s="6">
        <v>44</v>
      </c>
      <c r="B159" s="7" t="s">
        <v>141</v>
      </c>
      <c r="C159" s="8">
        <v>45373</v>
      </c>
      <c r="D159" s="7">
        <v>2130</v>
      </c>
      <c r="E159" s="42">
        <v>607.36500000000001</v>
      </c>
      <c r="F159" s="10">
        <v>4.8</v>
      </c>
      <c r="G159" s="10">
        <v>0.6</v>
      </c>
      <c r="H159" s="10">
        <v>51.29699427185701</v>
      </c>
      <c r="I159" s="10">
        <v>53.888888888888893</v>
      </c>
      <c r="J159" s="10">
        <v>88.646000000000001</v>
      </c>
      <c r="K159" s="10">
        <v>62.160373865235762</v>
      </c>
      <c r="L159" s="6" t="s">
        <v>68</v>
      </c>
      <c r="M159" s="6" t="s">
        <v>298</v>
      </c>
      <c r="N159" s="11" t="str">
        <f>VLOOKUP(Séparateur[[#This Row],[Puits]],Puits!$A$1:$F$267,3,FALSE)</f>
        <v>Centre</v>
      </c>
      <c r="O159" s="34">
        <f>(Séparateur[[#This Row],[Qw (sm3/j)]]/(Séparateur[[#This Row],[Qg (Msm3/j)]]*1000))*1000000</f>
        <v>0.98787384850954529</v>
      </c>
      <c r="P159" s="34">
        <f>(Séparateur[[#This Row],[Qc (sm3/j)]]/(Séparateur[[#This Row],[Qg (Msm3/j)]]*1000))*1000000</f>
        <v>7.9029907880763623</v>
      </c>
      <c r="Q159" s="46">
        <v>0.76800000000000002</v>
      </c>
      <c r="R159" s="46">
        <v>0.68200000000000005</v>
      </c>
      <c r="S159" s="34">
        <v>0.1</v>
      </c>
    </row>
    <row r="160" spans="1:19" x14ac:dyDescent="0.25">
      <c r="A160" s="6">
        <v>44</v>
      </c>
      <c r="B160" s="7" t="s">
        <v>141</v>
      </c>
      <c r="C160" s="8">
        <v>45373</v>
      </c>
      <c r="D160" s="7">
        <v>2130</v>
      </c>
      <c r="E160" s="42">
        <v>393.65899999999999</v>
      </c>
      <c r="F160" s="10">
        <v>3.96</v>
      </c>
      <c r="G160" s="10">
        <v>0.36</v>
      </c>
      <c r="H160" s="10">
        <v>55.227005929781541</v>
      </c>
      <c r="I160" s="10">
        <v>54.44444444444445</v>
      </c>
      <c r="J160" s="10">
        <v>89.350999999999999</v>
      </c>
      <c r="K160" s="10">
        <v>65.176968076771104</v>
      </c>
      <c r="L160" s="6" t="s">
        <v>68</v>
      </c>
      <c r="M160" s="6" t="s">
        <v>298</v>
      </c>
      <c r="N160" s="11" t="str">
        <f>VLOOKUP(Séparateur[[#This Row],[Puits]],Puits!$A$1:$F$267,3,FALSE)</f>
        <v>Centre</v>
      </c>
      <c r="O160" s="34">
        <f>(Séparateur[[#This Row],[Qw (sm3/j)]]/(Séparateur[[#This Row],[Qg (Msm3/j)]]*1000))*1000000</f>
        <v>0.91449706471844916</v>
      </c>
      <c r="P160" s="34">
        <f>(Séparateur[[#This Row],[Qc (sm3/j)]]/(Séparateur[[#This Row],[Qg (Msm3/j)]]*1000))*1000000</f>
        <v>10.059467711902942</v>
      </c>
      <c r="Q160" s="46">
        <v>0.76900000000000002</v>
      </c>
      <c r="R160" s="46">
        <v>0.68400000000000005</v>
      </c>
      <c r="S160" s="34">
        <v>0.1</v>
      </c>
    </row>
    <row r="161" spans="1:19" x14ac:dyDescent="0.25">
      <c r="A161" s="6">
        <v>45</v>
      </c>
      <c r="B161" s="7" t="s">
        <v>320</v>
      </c>
      <c r="C161" s="8">
        <v>45372</v>
      </c>
      <c r="D161" s="7">
        <v>2160</v>
      </c>
      <c r="E161" s="42">
        <v>869.87199999999996</v>
      </c>
      <c r="F161" s="10">
        <v>6</v>
      </c>
      <c r="G161" s="10">
        <v>0.72</v>
      </c>
      <c r="H161" s="10">
        <v>44.678027269036754</v>
      </c>
      <c r="I161" s="10">
        <v>60</v>
      </c>
      <c r="J161" s="10">
        <v>85.94</v>
      </c>
      <c r="K161" s="10">
        <v>57.784891938506846</v>
      </c>
      <c r="L161" s="6" t="s">
        <v>67</v>
      </c>
      <c r="M161" s="6" t="s">
        <v>298</v>
      </c>
      <c r="N161" s="11" t="str">
        <f>VLOOKUP(Séparateur[[#This Row],[Puits]],Puits!$A$1:$F$267,3,FALSE)</f>
        <v>Centre</v>
      </c>
      <c r="O161" s="34">
        <f>(Séparateur[[#This Row],[Qw (sm3/j)]]/(Séparateur[[#This Row],[Qg (Msm3/j)]]*1000))*1000000</f>
        <v>0.82770798462302497</v>
      </c>
      <c r="P161" s="34">
        <f>(Séparateur[[#This Row],[Qc (sm3/j)]]/(Séparateur[[#This Row],[Qg (Msm3/j)]]*1000))*1000000</f>
        <v>6.8975665385252078</v>
      </c>
      <c r="Q161" s="46">
        <v>0.755</v>
      </c>
      <c r="R161" s="46">
        <v>0.69099999999999995</v>
      </c>
      <c r="S161" s="34">
        <v>0.5</v>
      </c>
    </row>
    <row r="162" spans="1:19" x14ac:dyDescent="0.25">
      <c r="A162" s="6">
        <v>45</v>
      </c>
      <c r="B162" s="7" t="s">
        <v>320</v>
      </c>
      <c r="C162" s="8">
        <v>45372</v>
      </c>
      <c r="D162" s="7">
        <v>2160</v>
      </c>
      <c r="E162" s="42">
        <v>671.47699999999998</v>
      </c>
      <c r="F162" s="10">
        <v>5.04</v>
      </c>
      <c r="G162" s="10">
        <v>0.6</v>
      </c>
      <c r="H162" s="10">
        <v>50.331728250612393</v>
      </c>
      <c r="I162" s="10">
        <v>44.444444444444443</v>
      </c>
      <c r="J162" s="10">
        <v>87.218000000000004</v>
      </c>
      <c r="K162" s="10">
        <v>62.019858711571729</v>
      </c>
      <c r="L162" s="6" t="s">
        <v>68</v>
      </c>
      <c r="M162" s="6" t="s">
        <v>298</v>
      </c>
      <c r="N162" s="11" t="str">
        <f>VLOOKUP(Séparateur[[#This Row],[Puits]],Puits!$A$1:$F$267,3,FALSE)</f>
        <v>Centre</v>
      </c>
      <c r="O162" s="34">
        <f>(Séparateur[[#This Row],[Qw (sm3/j)]]/(Séparateur[[#This Row],[Qg (Msm3/j)]]*1000))*1000000</f>
        <v>0.89355257142091238</v>
      </c>
      <c r="P162" s="34">
        <f>(Séparateur[[#This Row],[Qc (sm3/j)]]/(Séparateur[[#This Row],[Qg (Msm3/j)]]*1000))*1000000</f>
        <v>7.505841599935664</v>
      </c>
      <c r="Q162" s="46">
        <v>0.75600000000000001</v>
      </c>
      <c r="R162" s="46">
        <v>0.69199999999999995</v>
      </c>
      <c r="S162" s="34">
        <v>0.4</v>
      </c>
    </row>
    <row r="163" spans="1:19" x14ac:dyDescent="0.25">
      <c r="A163" s="6">
        <v>45</v>
      </c>
      <c r="B163" s="7" t="s">
        <v>320</v>
      </c>
      <c r="C163" s="8">
        <v>45372</v>
      </c>
      <c r="D163" s="7">
        <v>2160</v>
      </c>
      <c r="E163" s="42">
        <v>485.08300000000003</v>
      </c>
      <c r="F163" s="10">
        <v>4.32</v>
      </c>
      <c r="G163" s="10">
        <v>0.48</v>
      </c>
      <c r="H163" s="10">
        <v>54.261739908536917</v>
      </c>
      <c r="I163" s="10">
        <v>43.888888888888893</v>
      </c>
      <c r="J163" s="10">
        <v>88.016000000000005</v>
      </c>
      <c r="K163" s="10">
        <v>65.051690336728129</v>
      </c>
      <c r="L163" s="6" t="s">
        <v>68</v>
      </c>
      <c r="M163" s="6" t="s">
        <v>298</v>
      </c>
      <c r="N163" s="11" t="str">
        <f>VLOOKUP(Séparateur[[#This Row],[Puits]],Puits!$A$1:$F$267,3,FALSE)</f>
        <v>Centre</v>
      </c>
      <c r="O163" s="34">
        <f>(Séparateur[[#This Row],[Qw (sm3/j)]]/(Séparateur[[#This Row],[Qg (Msm3/j)]]*1000))*1000000</f>
        <v>0.98952138087708696</v>
      </c>
      <c r="P163" s="34">
        <f>(Séparateur[[#This Row],[Qc (sm3/j)]]/(Séparateur[[#This Row],[Qg (Msm3/j)]]*1000))*1000000</f>
        <v>8.9056924278937846</v>
      </c>
      <c r="Q163" s="46">
        <v>0.75600000000000001</v>
      </c>
      <c r="R163" s="46">
        <v>0.69399999999999995</v>
      </c>
      <c r="S163" s="34">
        <v>0.4</v>
      </c>
    </row>
    <row r="164" spans="1:19" x14ac:dyDescent="0.25">
      <c r="A164" s="6">
        <v>46</v>
      </c>
      <c r="B164" s="7" t="s">
        <v>194</v>
      </c>
      <c r="C164" s="8">
        <v>45370</v>
      </c>
      <c r="D164" s="7">
        <v>2100</v>
      </c>
      <c r="E164" s="42">
        <v>876.38</v>
      </c>
      <c r="F164" s="10">
        <v>8.16</v>
      </c>
      <c r="G164" s="10">
        <v>0.84</v>
      </c>
      <c r="H164" s="10">
        <v>45.574345717335326</v>
      </c>
      <c r="I164" s="10">
        <v>28.333333333333336</v>
      </c>
      <c r="J164" s="10">
        <v>86.682000000000002</v>
      </c>
      <c r="K164" s="10">
        <v>58.787113858850539</v>
      </c>
      <c r="L164" s="6" t="s">
        <v>67</v>
      </c>
      <c r="M164" s="6" t="s">
        <v>298</v>
      </c>
      <c r="N164" s="11" t="str">
        <f>VLOOKUP(Séparateur[[#This Row],[Puits]],Puits!$A$1:$F$267,3,FALSE)</f>
        <v>Centre</v>
      </c>
      <c r="O164" s="34">
        <f>(Séparateur[[#This Row],[Qw (sm3/j)]]/(Séparateur[[#This Row],[Qg (Msm3/j)]]*1000))*1000000</f>
        <v>0.95848832698144626</v>
      </c>
      <c r="P164" s="34">
        <f>(Séparateur[[#This Row],[Qc (sm3/j)]]/(Séparateur[[#This Row],[Qg (Msm3/j)]]*1000))*1000000</f>
        <v>9.3110294621054788</v>
      </c>
      <c r="Q164" s="46">
        <v>0.76200000000000001</v>
      </c>
      <c r="R164" s="46">
        <v>0.69799999999999995</v>
      </c>
      <c r="S164" s="34">
        <v>0.2</v>
      </c>
    </row>
    <row r="165" spans="1:19" x14ac:dyDescent="0.25">
      <c r="A165" s="6">
        <v>46</v>
      </c>
      <c r="B165" s="7" t="s">
        <v>194</v>
      </c>
      <c r="C165" s="8">
        <v>45370</v>
      </c>
      <c r="D165" s="7">
        <v>2100</v>
      </c>
      <c r="E165" s="42">
        <v>703.07</v>
      </c>
      <c r="F165" s="10">
        <v>6.96</v>
      </c>
      <c r="G165" s="10">
        <v>0.72</v>
      </c>
      <c r="H165" s="10">
        <v>49.090671937583593</v>
      </c>
      <c r="I165" s="10">
        <v>67.777777777777786</v>
      </c>
      <c r="J165" s="10">
        <v>89.453000000000003</v>
      </c>
      <c r="K165" s="10">
        <v>55.088352360587045</v>
      </c>
      <c r="L165" s="6" t="s">
        <v>68</v>
      </c>
      <c r="M165" s="6" t="s">
        <v>298</v>
      </c>
      <c r="N165" s="11" t="str">
        <f>VLOOKUP(Séparateur[[#This Row],[Puits]],Puits!$A$1:$F$267,3,FALSE)</f>
        <v>Centre</v>
      </c>
      <c r="O165" s="34">
        <f>(Séparateur[[#This Row],[Qw (sm3/j)]]/(Séparateur[[#This Row],[Qg (Msm3/j)]]*1000))*1000000</f>
        <v>1.0240801058216109</v>
      </c>
      <c r="P165" s="34">
        <f>(Séparateur[[#This Row],[Qc (sm3/j)]]/(Séparateur[[#This Row],[Qg (Msm3/j)]]*1000))*1000000</f>
        <v>9.8994410229422396</v>
      </c>
      <c r="Q165" s="46">
        <v>0.76100000000000001</v>
      </c>
      <c r="R165" s="46">
        <v>0.69899999999999995</v>
      </c>
      <c r="S165" s="34">
        <v>0.2</v>
      </c>
    </row>
    <row r="166" spans="1:19" x14ac:dyDescent="0.25">
      <c r="A166" s="6">
        <v>46</v>
      </c>
      <c r="B166" s="7" t="s">
        <v>194</v>
      </c>
      <c r="C166" s="8">
        <v>45370</v>
      </c>
      <c r="D166" s="7">
        <v>2100</v>
      </c>
      <c r="E166" s="42">
        <v>523.68799999999999</v>
      </c>
      <c r="F166" s="10">
        <v>5.44</v>
      </c>
      <c r="G166" s="10">
        <v>0.48</v>
      </c>
      <c r="H166" s="10">
        <v>52.951736022562073</v>
      </c>
      <c r="I166" s="10">
        <v>66.666666666666671</v>
      </c>
      <c r="J166" s="10">
        <v>88.248000000000005</v>
      </c>
      <c r="K166" s="10">
        <v>63.608686582540372</v>
      </c>
      <c r="L166" s="6" t="s">
        <v>68</v>
      </c>
      <c r="M166" s="6" t="s">
        <v>298</v>
      </c>
      <c r="N166" s="11" t="str">
        <f>VLOOKUP(Séparateur[[#This Row],[Puits]],Puits!$A$1:$F$267,3,FALSE)</f>
        <v>Centre</v>
      </c>
      <c r="O166" s="34">
        <f>(Séparateur[[#This Row],[Qw (sm3/j)]]/(Séparateur[[#This Row],[Qg (Msm3/j)]]*1000))*1000000</f>
        <v>0.91657628206107455</v>
      </c>
      <c r="P166" s="34">
        <f>(Séparateur[[#This Row],[Qc (sm3/j)]]/(Séparateur[[#This Row],[Qg (Msm3/j)]]*1000))*1000000</f>
        <v>10.387864530025512</v>
      </c>
      <c r="Q166" s="46">
        <v>0.76100000000000001</v>
      </c>
      <c r="R166" s="46">
        <v>0.69899999999999995</v>
      </c>
      <c r="S166" s="34">
        <v>0.2</v>
      </c>
    </row>
    <row r="167" spans="1:19" x14ac:dyDescent="0.25">
      <c r="A167" s="6">
        <v>47</v>
      </c>
      <c r="B167" s="7" t="s">
        <v>286</v>
      </c>
      <c r="C167" s="8">
        <v>45368</v>
      </c>
      <c r="D167" s="7">
        <v>2150</v>
      </c>
      <c r="E167" s="42">
        <v>991.97699999999998</v>
      </c>
      <c r="F167" s="10">
        <v>4.5599999999999996</v>
      </c>
      <c r="G167" s="10">
        <v>0.8</v>
      </c>
      <c r="H167" s="10">
        <v>47.022244749202258</v>
      </c>
      <c r="I167" s="10">
        <v>60</v>
      </c>
      <c r="J167" s="10">
        <v>89.436999999999998</v>
      </c>
      <c r="K167" s="10">
        <v>61.748343169310196</v>
      </c>
      <c r="L167" s="6" t="s">
        <v>67</v>
      </c>
      <c r="M167" s="6" t="s">
        <v>298</v>
      </c>
      <c r="N167" s="11" t="str">
        <f>VLOOKUP(Séparateur[[#This Row],[Puits]],Puits!$A$1:$F$267,3,FALSE)</f>
        <v>Centre</v>
      </c>
      <c r="O167" s="34">
        <f>(Séparateur[[#This Row],[Qw (sm3/j)]]/(Séparateur[[#This Row],[Qg (Msm3/j)]]*1000))*1000000</f>
        <v>0.80647031130762115</v>
      </c>
      <c r="P167" s="34">
        <f>(Séparateur[[#This Row],[Qc (sm3/j)]]/(Séparateur[[#This Row],[Qg (Msm3/j)]]*1000))*1000000</f>
        <v>4.5968807744534397</v>
      </c>
      <c r="Q167" s="46">
        <v>0.75900000000000001</v>
      </c>
      <c r="R167" s="46">
        <v>0.67600000000000005</v>
      </c>
      <c r="S167" s="34">
        <v>0.2</v>
      </c>
    </row>
    <row r="168" spans="1:19" x14ac:dyDescent="0.25">
      <c r="A168" s="6">
        <v>47</v>
      </c>
      <c r="B168" s="7" t="s">
        <v>286</v>
      </c>
      <c r="C168" s="8">
        <v>45368</v>
      </c>
      <c r="D168" s="7">
        <v>2150</v>
      </c>
      <c r="E168" s="42">
        <v>783.99599999999998</v>
      </c>
      <c r="F168" s="10">
        <v>3.96</v>
      </c>
      <c r="G168" s="10">
        <v>0.6</v>
      </c>
      <c r="H168" s="10">
        <v>51.159099125964921</v>
      </c>
      <c r="I168" s="10">
        <v>66.111111111111114</v>
      </c>
      <c r="J168" s="10">
        <v>89.516000000000005</v>
      </c>
      <c r="K168" s="10">
        <v>64.248175321614937</v>
      </c>
      <c r="L168" s="6" t="s">
        <v>67</v>
      </c>
      <c r="M168" s="6" t="s">
        <v>298</v>
      </c>
      <c r="N168" s="11" t="str">
        <f>VLOOKUP(Séparateur[[#This Row],[Puits]],Puits!$A$1:$F$267,3,FALSE)</f>
        <v>Centre</v>
      </c>
      <c r="O168" s="34">
        <f>(Séparateur[[#This Row],[Qw (sm3/j)]]/(Séparateur[[#This Row],[Qg (Msm3/j)]]*1000))*1000000</f>
        <v>0.76531002709197493</v>
      </c>
      <c r="P168" s="34">
        <f>(Séparateur[[#This Row],[Qc (sm3/j)]]/(Séparateur[[#This Row],[Qg (Msm3/j)]]*1000))*1000000</f>
        <v>5.0510461788070344</v>
      </c>
      <c r="Q168" s="46">
        <v>0.76</v>
      </c>
      <c r="R168" s="46">
        <v>0.67800000000000005</v>
      </c>
      <c r="S168" s="34">
        <v>0.1</v>
      </c>
    </row>
    <row r="169" spans="1:19" x14ac:dyDescent="0.25">
      <c r="A169" s="6">
        <v>47</v>
      </c>
      <c r="B169" s="7" t="s">
        <v>286</v>
      </c>
      <c r="C169" s="8">
        <v>45369</v>
      </c>
      <c r="D169" s="7">
        <v>2150</v>
      </c>
      <c r="E169" s="42">
        <v>610.71299999999997</v>
      </c>
      <c r="F169" s="10">
        <v>3.76</v>
      </c>
      <c r="G169" s="10">
        <v>0.52</v>
      </c>
      <c r="H169" s="10">
        <v>54.261739908536917</v>
      </c>
      <c r="I169" s="10">
        <v>62.222222222222229</v>
      </c>
      <c r="J169" s="10">
        <v>89.355999999999995</v>
      </c>
      <c r="K169" s="10">
        <v>66.109966633876965</v>
      </c>
      <c r="L169" s="6" t="s">
        <v>67</v>
      </c>
      <c r="M169" s="6" t="s">
        <v>298</v>
      </c>
      <c r="N169" s="11" t="str">
        <f>VLOOKUP(Séparateur[[#This Row],[Puits]],Puits!$A$1:$F$267,3,FALSE)</f>
        <v>Centre</v>
      </c>
      <c r="O169" s="34">
        <f>(Séparateur[[#This Row],[Qw (sm3/j)]]/(Séparateur[[#This Row],[Qg (Msm3/j)]]*1000))*1000000</f>
        <v>0.85146378085942165</v>
      </c>
      <c r="P169" s="34">
        <f>(Séparateur[[#This Row],[Qc (sm3/j)]]/(Séparateur[[#This Row],[Qg (Msm3/j)]]*1000))*1000000</f>
        <v>6.1567381077527417</v>
      </c>
      <c r="Q169" s="46">
        <v>0.75900000000000001</v>
      </c>
      <c r="R169" s="46">
        <v>0.67900000000000005</v>
      </c>
      <c r="S169" s="34">
        <v>0.1</v>
      </c>
    </row>
    <row r="170" spans="1:19" x14ac:dyDescent="0.25">
      <c r="A170" s="6">
        <v>48</v>
      </c>
      <c r="B170" s="7" t="s">
        <v>150</v>
      </c>
      <c r="C170" s="8">
        <v>45374</v>
      </c>
      <c r="D170" s="7">
        <v>2120</v>
      </c>
      <c r="E170" s="42">
        <v>920.39200000000005</v>
      </c>
      <c r="F170" s="10">
        <v>12.6</v>
      </c>
      <c r="G170" s="10">
        <v>0.9</v>
      </c>
      <c r="H170" s="10">
        <v>48.056458343392926</v>
      </c>
      <c r="I170" s="10">
        <v>60.555555555555557</v>
      </c>
      <c r="J170" s="10">
        <v>87.307000000000002</v>
      </c>
      <c r="K170" s="10">
        <v>61.819772854882302</v>
      </c>
      <c r="L170" s="6" t="s">
        <v>67</v>
      </c>
      <c r="M170" s="6" t="s">
        <v>298</v>
      </c>
      <c r="N170" s="11" t="str">
        <f>VLOOKUP(Séparateur[[#This Row],[Puits]],Puits!$A$1:$F$267,3,FALSE)</f>
        <v>Centre</v>
      </c>
      <c r="O170" s="34">
        <f>(Séparateur[[#This Row],[Qw (sm3/j)]]/(Séparateur[[#This Row],[Qg (Msm3/j)]]*1000))*1000000</f>
        <v>0.97784422289633122</v>
      </c>
      <c r="P170" s="34">
        <f>(Séparateur[[#This Row],[Qc (sm3/j)]]/(Séparateur[[#This Row],[Qg (Msm3/j)]]*1000))*1000000</f>
        <v>13.689819120548636</v>
      </c>
      <c r="Q170" s="46">
        <v>0.74</v>
      </c>
      <c r="R170" s="46">
        <v>0.70099999999999996</v>
      </c>
      <c r="S170" s="34">
        <v>0.5</v>
      </c>
    </row>
    <row r="171" spans="1:19" x14ac:dyDescent="0.25">
      <c r="A171" s="6">
        <v>48</v>
      </c>
      <c r="B171" s="7" t="s">
        <v>150</v>
      </c>
      <c r="C171" s="8">
        <v>45374</v>
      </c>
      <c r="D171" s="7">
        <v>2120</v>
      </c>
      <c r="E171" s="42">
        <v>700.95799999999997</v>
      </c>
      <c r="F171" s="10">
        <v>10.32</v>
      </c>
      <c r="G171" s="10">
        <v>0.72</v>
      </c>
      <c r="H171" s="10">
        <v>51.848574855425369</v>
      </c>
      <c r="I171" s="10">
        <v>65.555555555555557</v>
      </c>
      <c r="J171" s="10">
        <v>87.936999999999998</v>
      </c>
      <c r="K171" s="10">
        <v>64.210943632224073</v>
      </c>
      <c r="L171" s="6" t="s">
        <v>68</v>
      </c>
      <c r="M171" s="6" t="s">
        <v>298</v>
      </c>
      <c r="N171" s="11" t="str">
        <f>VLOOKUP(Séparateur[[#This Row],[Puits]],Puits!$A$1:$F$267,3,FALSE)</f>
        <v>Centre</v>
      </c>
      <c r="O171" s="34">
        <f>(Séparateur[[#This Row],[Qw (sm3/j)]]/(Séparateur[[#This Row],[Qg (Msm3/j)]]*1000))*1000000</f>
        <v>1.0271656789707799</v>
      </c>
      <c r="P171" s="34">
        <f>(Séparateur[[#This Row],[Qc (sm3/j)]]/(Séparateur[[#This Row],[Qg (Msm3/j)]]*1000))*1000000</f>
        <v>14.722708065247847</v>
      </c>
      <c r="Q171" s="46">
        <v>0.74199999999999999</v>
      </c>
      <c r="R171" s="46">
        <v>0.70199999999999996</v>
      </c>
      <c r="S171" s="34">
        <v>0.4</v>
      </c>
    </row>
    <row r="172" spans="1:19" x14ac:dyDescent="0.25">
      <c r="A172" s="6">
        <v>48</v>
      </c>
      <c r="B172" s="7" t="s">
        <v>150</v>
      </c>
      <c r="C172" s="8">
        <v>45374</v>
      </c>
      <c r="D172" s="7">
        <v>2120</v>
      </c>
      <c r="E172" s="42">
        <v>403.19400000000002</v>
      </c>
      <c r="F172" s="10">
        <v>7.44</v>
      </c>
      <c r="G172" s="10">
        <v>0.36</v>
      </c>
      <c r="H172" s="10">
        <v>55.778586513349893</v>
      </c>
      <c r="I172" s="10">
        <v>65.555555555555557</v>
      </c>
      <c r="J172" s="10">
        <v>88.328000000000003</v>
      </c>
      <c r="K172" s="10">
        <v>66.809508708987536</v>
      </c>
      <c r="L172" s="6" t="s">
        <v>68</v>
      </c>
      <c r="M172" s="6" t="s">
        <v>298</v>
      </c>
      <c r="N172" s="11" t="str">
        <f>VLOOKUP(Séparateur[[#This Row],[Puits]],Puits!$A$1:$F$267,3,FALSE)</f>
        <v>Centre</v>
      </c>
      <c r="O172" s="34">
        <f>(Séparateur[[#This Row],[Qw (sm3/j)]]/(Séparateur[[#This Row],[Qg (Msm3/j)]]*1000))*1000000</f>
        <v>0.89287042961948837</v>
      </c>
      <c r="P172" s="34">
        <f>(Séparateur[[#This Row],[Qc (sm3/j)]]/(Séparateur[[#This Row],[Qg (Msm3/j)]]*1000))*1000000</f>
        <v>18.45265554546943</v>
      </c>
      <c r="Q172" s="46">
        <v>0.74299999999999999</v>
      </c>
      <c r="R172" s="46">
        <v>0.70199999999999996</v>
      </c>
      <c r="S172" s="34">
        <v>0.4</v>
      </c>
    </row>
    <row r="173" spans="1:19" x14ac:dyDescent="0.25">
      <c r="A173" s="6">
        <v>49</v>
      </c>
      <c r="B173" s="7" t="s">
        <v>199</v>
      </c>
      <c r="C173" s="8">
        <v>45375</v>
      </c>
      <c r="D173" s="7">
        <v>2106</v>
      </c>
      <c r="E173" s="42">
        <v>941.05200000000002</v>
      </c>
      <c r="F173" s="10">
        <v>7.44</v>
      </c>
      <c r="G173" s="10">
        <v>0.72</v>
      </c>
      <c r="H173" s="10">
        <v>43.161180664223778</v>
      </c>
      <c r="I173" s="10">
        <v>61.666666666666671</v>
      </c>
      <c r="J173" s="10">
        <v>87.995000000000005</v>
      </c>
      <c r="K173" s="10">
        <v>56.709034010256765</v>
      </c>
      <c r="L173" s="6" t="s">
        <v>67</v>
      </c>
      <c r="M173" s="6" t="s">
        <v>298</v>
      </c>
      <c r="N173" s="11" t="str">
        <f>VLOOKUP(Séparateur[[#This Row],[Puits]],Puits!$A$1:$F$267,3,FALSE)</f>
        <v>Centre</v>
      </c>
      <c r="O173" s="34">
        <f>(Séparateur[[#This Row],[Qw (sm3/j)]]/(Séparateur[[#This Row],[Qg (Msm3/j)]]*1000))*1000000</f>
        <v>0.76510118463166743</v>
      </c>
      <c r="P173" s="34">
        <f>(Séparateur[[#This Row],[Qc (sm3/j)]]/(Séparateur[[#This Row],[Qg (Msm3/j)]]*1000))*1000000</f>
        <v>7.9060455745272318</v>
      </c>
      <c r="Q173" s="46">
        <v>0.76</v>
      </c>
      <c r="R173" s="46">
        <v>0.68899999999999995</v>
      </c>
      <c r="S173" s="34">
        <v>0.4</v>
      </c>
    </row>
    <row r="174" spans="1:19" x14ac:dyDescent="0.25">
      <c r="A174" s="6">
        <v>49</v>
      </c>
      <c r="B174" s="7" t="s">
        <v>199</v>
      </c>
      <c r="C174" s="8">
        <v>45375</v>
      </c>
      <c r="D174" s="7">
        <v>2106</v>
      </c>
      <c r="E174" s="42">
        <v>702.74800000000005</v>
      </c>
      <c r="F174" s="10">
        <v>6.72</v>
      </c>
      <c r="G174" s="10">
        <v>0.6</v>
      </c>
      <c r="H174" s="10">
        <v>49.228567083475681</v>
      </c>
      <c r="I174" s="10">
        <v>62.777777777777779</v>
      </c>
      <c r="J174" s="10">
        <v>89.058000000000007</v>
      </c>
      <c r="K174" s="10">
        <v>60.647250429361875</v>
      </c>
      <c r="L174" s="6" t="s">
        <v>68</v>
      </c>
      <c r="M174" s="6" t="s">
        <v>298</v>
      </c>
      <c r="N174" s="11" t="str">
        <f>VLOOKUP(Séparateur[[#This Row],[Puits]],Puits!$A$1:$F$267,3,FALSE)</f>
        <v>Centre</v>
      </c>
      <c r="O174" s="34">
        <f>(Séparateur[[#This Row],[Qw (sm3/j)]]/(Séparateur[[#This Row],[Qg (Msm3/j)]]*1000))*1000000</f>
        <v>0.85379111715721712</v>
      </c>
      <c r="P174" s="34">
        <f>(Séparateur[[#This Row],[Qc (sm3/j)]]/(Séparateur[[#This Row],[Qg (Msm3/j)]]*1000))*1000000</f>
        <v>9.5624605121608308</v>
      </c>
      <c r="Q174" s="46">
        <v>0.76200000000000001</v>
      </c>
      <c r="R174" s="46">
        <v>0.69</v>
      </c>
      <c r="S174" s="34">
        <v>0.4</v>
      </c>
    </row>
    <row r="175" spans="1:19" x14ac:dyDescent="0.25">
      <c r="A175" s="6">
        <v>49</v>
      </c>
      <c r="B175" s="7" t="s">
        <v>199</v>
      </c>
      <c r="C175" s="8">
        <v>45375</v>
      </c>
      <c r="D175" s="7">
        <v>2106</v>
      </c>
      <c r="E175" s="42">
        <v>407.99</v>
      </c>
      <c r="F175" s="10">
        <v>5.04</v>
      </c>
      <c r="G175" s="10">
        <v>0.24</v>
      </c>
      <c r="H175" s="10">
        <v>54.5375302003211</v>
      </c>
      <c r="I175" s="10">
        <v>62.222222222222229</v>
      </c>
      <c r="J175" s="10">
        <v>89.933999999999997</v>
      </c>
      <c r="K175" s="10">
        <v>64.374142537387357</v>
      </c>
      <c r="L175" s="6" t="s">
        <v>68</v>
      </c>
      <c r="M175" s="6" t="s">
        <v>298</v>
      </c>
      <c r="N175" s="11" t="str">
        <f>VLOOKUP(Séparateur[[#This Row],[Puits]],Puits!$A$1:$F$267,3,FALSE)</f>
        <v>Centre</v>
      </c>
      <c r="O175" s="34">
        <f>(Séparateur[[#This Row],[Qw (sm3/j)]]/(Séparateur[[#This Row],[Qg (Msm3/j)]]*1000))*1000000</f>
        <v>0.58824971200274523</v>
      </c>
      <c r="P175" s="34">
        <f>(Séparateur[[#This Row],[Qc (sm3/j)]]/(Séparateur[[#This Row],[Qg (Msm3/j)]]*1000))*1000000</f>
        <v>12.353243952057648</v>
      </c>
      <c r="Q175" s="46">
        <v>0.76400000000000001</v>
      </c>
      <c r="R175" s="46">
        <v>0.69099999999999995</v>
      </c>
      <c r="S175" s="34">
        <v>0.4</v>
      </c>
    </row>
    <row r="176" spans="1:19" x14ac:dyDescent="0.25">
      <c r="A176" s="6">
        <v>50</v>
      </c>
      <c r="B176" s="7" t="s">
        <v>235</v>
      </c>
      <c r="C176" s="8">
        <v>45376</v>
      </c>
      <c r="D176" s="7"/>
      <c r="E176" s="42">
        <v>282.76600000000002</v>
      </c>
      <c r="F176" s="10">
        <v>13.07</v>
      </c>
      <c r="G176" s="10">
        <v>57.6</v>
      </c>
      <c r="H176" s="10">
        <v>46.19487387384973</v>
      </c>
      <c r="I176" s="10">
        <v>57.777777777777779</v>
      </c>
      <c r="J176" s="10"/>
      <c r="K176" s="10"/>
      <c r="L176" s="6"/>
      <c r="M176" s="6" t="s">
        <v>298</v>
      </c>
      <c r="N176" s="11" t="str">
        <f>VLOOKUP(Séparateur[[#This Row],[Puits]],Puits!$A$1:$F$267,3,FALSE)</f>
        <v>Centre</v>
      </c>
      <c r="O176" s="34">
        <f>(Séparateur[[#This Row],[Qw (sm3/j)]]/(Séparateur[[#This Row],[Qg (Msm3/j)]]*1000))*1000000</f>
        <v>203.70200094778016</v>
      </c>
      <c r="P176" s="34">
        <f>(Séparateur[[#This Row],[Qc (sm3/j)]]/(Séparateur[[#This Row],[Qg (Msm3/j)]]*1000))*1000000</f>
        <v>46.221964451171637</v>
      </c>
      <c r="Q176" s="46">
        <v>0.82399999999999995</v>
      </c>
      <c r="R176" s="46">
        <v>0.67</v>
      </c>
      <c r="S176" s="34"/>
    </row>
    <row r="177" spans="1:19" x14ac:dyDescent="0.25">
      <c r="A177" s="6">
        <v>50</v>
      </c>
      <c r="B177" s="7" t="s">
        <v>235</v>
      </c>
      <c r="C177" s="8">
        <v>45376</v>
      </c>
      <c r="D177" s="7"/>
      <c r="E177" s="42">
        <v>168.197</v>
      </c>
      <c r="F177" s="10">
        <v>8.68</v>
      </c>
      <c r="G177" s="10">
        <v>28.8</v>
      </c>
      <c r="H177" s="10">
        <v>51.021203980072833</v>
      </c>
      <c r="I177" s="10">
        <v>59.44444444444445</v>
      </c>
      <c r="J177" s="10"/>
      <c r="K177" s="10"/>
      <c r="L177" s="6"/>
      <c r="M177" s="6" t="s">
        <v>298</v>
      </c>
      <c r="N177" s="11" t="str">
        <f>VLOOKUP(Séparateur[[#This Row],[Puits]],Puits!$A$1:$F$267,3,FALSE)</f>
        <v>Centre</v>
      </c>
      <c r="O177" s="34">
        <f>(Séparateur[[#This Row],[Qw (sm3/j)]]/(Séparateur[[#This Row],[Qg (Msm3/j)]]*1000))*1000000</f>
        <v>171.22778646468132</v>
      </c>
      <c r="P177" s="34">
        <f>(Séparateur[[#This Row],[Qc (sm3/j)]]/(Séparateur[[#This Row],[Qg (Msm3/j)]]*1000))*1000000</f>
        <v>51.60615230949422</v>
      </c>
      <c r="Q177" s="46">
        <v>0.82399999999999995</v>
      </c>
      <c r="R177" s="46">
        <v>0.67</v>
      </c>
      <c r="S177" s="34"/>
    </row>
    <row r="178" spans="1:19" x14ac:dyDescent="0.25">
      <c r="A178" s="6">
        <v>50</v>
      </c>
      <c r="B178" s="7" t="s">
        <v>235</v>
      </c>
      <c r="C178" s="8">
        <v>45376</v>
      </c>
      <c r="D178" s="7"/>
      <c r="E178" s="42">
        <v>110.872</v>
      </c>
      <c r="F178" s="10">
        <v>6.51</v>
      </c>
      <c r="G178" s="10">
        <v>16.2</v>
      </c>
      <c r="H178" s="10">
        <v>55.158058356835497</v>
      </c>
      <c r="I178" s="10">
        <v>61.111111111111114</v>
      </c>
      <c r="J178" s="10"/>
      <c r="K178" s="10"/>
      <c r="L178" s="6"/>
      <c r="M178" s="6" t="s">
        <v>298</v>
      </c>
      <c r="N178" s="11" t="str">
        <f>VLOOKUP(Séparateur[[#This Row],[Puits]],Puits!$A$1:$F$267,3,FALSE)</f>
        <v>Centre</v>
      </c>
      <c r="O178" s="34">
        <f>(Séparateur[[#This Row],[Qw (sm3/j)]]/(Séparateur[[#This Row],[Qg (Msm3/j)]]*1000))*1000000</f>
        <v>146.11443827115951</v>
      </c>
      <c r="P178" s="34">
        <f>(Séparateur[[#This Row],[Qc (sm3/j)]]/(Séparateur[[#This Row],[Qg (Msm3/j)]]*1000))*1000000</f>
        <v>58.716357601558549</v>
      </c>
      <c r="Q178" s="46">
        <v>0.82399999999999995</v>
      </c>
      <c r="R178" s="46">
        <v>0.67</v>
      </c>
      <c r="S178" s="34"/>
    </row>
    <row r="179" spans="1:19" x14ac:dyDescent="0.25">
      <c r="A179" s="6">
        <v>51</v>
      </c>
      <c r="B179" s="7" t="s">
        <v>152</v>
      </c>
      <c r="C179" s="8">
        <v>45376</v>
      </c>
      <c r="D179" s="7">
        <v>2180</v>
      </c>
      <c r="E179" s="42">
        <v>805.73400000000004</v>
      </c>
      <c r="F179" s="10">
        <v>6</v>
      </c>
      <c r="G179" s="10">
        <v>0.66</v>
      </c>
      <c r="H179" s="10">
        <v>41.644334059410802</v>
      </c>
      <c r="I179" s="10">
        <v>56.666666666666671</v>
      </c>
      <c r="J179" s="10">
        <v>87.504000000000005</v>
      </c>
      <c r="K179" s="10">
        <v>53.792000094055517</v>
      </c>
      <c r="L179" s="6" t="s">
        <v>67</v>
      </c>
      <c r="M179" s="6" t="s">
        <v>298</v>
      </c>
      <c r="N179" s="11" t="str">
        <f>VLOOKUP(Séparateur[[#This Row],[Puits]],Puits!$A$1:$F$267,3,FALSE)</f>
        <v>Centre</v>
      </c>
      <c r="O179" s="34">
        <f>(Séparateur[[#This Row],[Qw (sm3/j)]]/(Séparateur[[#This Row],[Qg (Msm3/j)]]*1000))*1000000</f>
        <v>0.81912889365472985</v>
      </c>
      <c r="P179" s="34">
        <f>(Séparateur[[#This Row],[Qc (sm3/j)]]/(Séparateur[[#This Row],[Qg (Msm3/j)]]*1000))*1000000</f>
        <v>7.4466263059520887</v>
      </c>
      <c r="Q179" s="46">
        <v>0.76300000000000001</v>
      </c>
      <c r="R179" s="46">
        <v>0.70099999999999996</v>
      </c>
      <c r="S179" s="34">
        <v>6</v>
      </c>
    </row>
    <row r="180" spans="1:19" x14ac:dyDescent="0.25">
      <c r="A180" s="6">
        <v>51</v>
      </c>
      <c r="B180" s="7" t="s">
        <v>152</v>
      </c>
      <c r="C180" s="8">
        <v>45376</v>
      </c>
      <c r="D180" s="7">
        <v>2180</v>
      </c>
      <c r="E180" s="42">
        <v>607.09199999999998</v>
      </c>
      <c r="F180" s="10">
        <v>4.8</v>
      </c>
      <c r="G180" s="10">
        <v>0.48</v>
      </c>
      <c r="H180" s="10">
        <v>46.815402030364126</v>
      </c>
      <c r="I180" s="10">
        <v>60</v>
      </c>
      <c r="J180" s="10">
        <v>88.472999999999999</v>
      </c>
      <c r="K180" s="10">
        <v>57.556192839044812</v>
      </c>
      <c r="L180" s="6" t="s">
        <v>68</v>
      </c>
      <c r="M180" s="6" t="s">
        <v>298</v>
      </c>
      <c r="N180" s="11" t="str">
        <f>VLOOKUP(Séparateur[[#This Row],[Puits]],Puits!$A$1:$F$267,3,FALSE)</f>
        <v>Centre</v>
      </c>
      <c r="O180" s="34">
        <f>(Séparateur[[#This Row],[Qw (sm3/j)]]/(Séparateur[[#This Row],[Qg (Msm3/j)]]*1000))*1000000</f>
        <v>0.79065446423276864</v>
      </c>
      <c r="P180" s="34">
        <f>(Séparateur[[#This Row],[Qc (sm3/j)]]/(Séparateur[[#This Row],[Qg (Msm3/j)]]*1000))*1000000</f>
        <v>7.9065446423276864</v>
      </c>
      <c r="Q180" s="46">
        <v>0.76400000000000001</v>
      </c>
      <c r="R180" s="46">
        <v>0.70399999999999996</v>
      </c>
      <c r="S180" s="34">
        <v>5</v>
      </c>
    </row>
    <row r="181" spans="1:19" x14ac:dyDescent="0.25">
      <c r="A181" s="6">
        <v>51</v>
      </c>
      <c r="B181" s="7" t="s">
        <v>152</v>
      </c>
      <c r="C181" s="8">
        <v>45376</v>
      </c>
      <c r="D181" s="7">
        <v>2180</v>
      </c>
      <c r="E181" s="42">
        <v>411.86599999999999</v>
      </c>
      <c r="F181" s="10">
        <v>3.84</v>
      </c>
      <c r="G181" s="10">
        <v>0.28999999999999998</v>
      </c>
      <c r="H181" s="10">
        <v>50.952256407126789</v>
      </c>
      <c r="I181" s="10">
        <v>57.777777777777779</v>
      </c>
      <c r="J181" s="10">
        <v>89.174999999999997</v>
      </c>
      <c r="K181" s="10">
        <v>60.797280348092464</v>
      </c>
      <c r="L181" s="6" t="s">
        <v>68</v>
      </c>
      <c r="M181" s="6" t="s">
        <v>298</v>
      </c>
      <c r="N181" s="11" t="str">
        <f>VLOOKUP(Séparateur[[#This Row],[Puits]],Puits!$A$1:$F$267,3,FALSE)</f>
        <v>Centre</v>
      </c>
      <c r="O181" s="34">
        <f>(Séparateur[[#This Row],[Qw (sm3/j)]]/(Séparateur[[#This Row],[Qg (Msm3/j)]]*1000))*1000000</f>
        <v>0.70411250261007219</v>
      </c>
      <c r="P181" s="34">
        <f>(Séparateur[[#This Row],[Qc (sm3/j)]]/(Séparateur[[#This Row],[Qg (Msm3/j)]]*1000))*1000000</f>
        <v>9.3234207242161293</v>
      </c>
      <c r="Q181" s="46">
        <v>0.76400000000000001</v>
      </c>
      <c r="R181" s="46">
        <v>0.70499999999999996</v>
      </c>
      <c r="S181" s="34">
        <v>5</v>
      </c>
    </row>
    <row r="182" spans="1:19" x14ac:dyDescent="0.25">
      <c r="A182" s="6">
        <v>52</v>
      </c>
      <c r="B182" s="7" t="s">
        <v>155</v>
      </c>
      <c r="C182" s="8">
        <v>45377</v>
      </c>
      <c r="D182" s="7">
        <v>2125</v>
      </c>
      <c r="E182" s="42">
        <v>699.99599999999998</v>
      </c>
      <c r="F182" s="10">
        <v>10.199999999999999</v>
      </c>
      <c r="G182" s="10">
        <v>0.9</v>
      </c>
      <c r="H182" s="10">
        <v>40.472225319328047</v>
      </c>
      <c r="I182" s="10">
        <v>61.111111111111114</v>
      </c>
      <c r="J182" s="10">
        <v>85.305999999999997</v>
      </c>
      <c r="K182" s="10">
        <v>66.965330223845598</v>
      </c>
      <c r="L182" s="6" t="s">
        <v>68</v>
      </c>
      <c r="M182" s="6" t="s">
        <v>298</v>
      </c>
      <c r="N182" s="11" t="str">
        <f>VLOOKUP(Séparateur[[#This Row],[Puits]],Puits!$A$1:$F$267,3,FALSE)</f>
        <v>Centre</v>
      </c>
      <c r="O182" s="34">
        <f>(Séparateur[[#This Row],[Qw (sm3/j)]]/(Séparateur[[#This Row],[Qg (Msm3/j)]]*1000))*1000000</f>
        <v>1.285721632695044</v>
      </c>
      <c r="P182" s="34">
        <f>(Séparateur[[#This Row],[Qc (sm3/j)]]/(Séparateur[[#This Row],[Qg (Msm3/j)]]*1000))*1000000</f>
        <v>14.571511837210497</v>
      </c>
      <c r="Q182" s="46">
        <v>0.754</v>
      </c>
      <c r="R182" s="46">
        <v>0.69699999999999995</v>
      </c>
      <c r="S182" s="34">
        <v>10</v>
      </c>
    </row>
    <row r="183" spans="1:19" x14ac:dyDescent="0.25">
      <c r="A183" s="6">
        <v>52</v>
      </c>
      <c r="B183" s="7" t="s">
        <v>155</v>
      </c>
      <c r="C183" s="8">
        <v>45377</v>
      </c>
      <c r="D183" s="7">
        <v>2125</v>
      </c>
      <c r="E183" s="42">
        <v>508.41899999999998</v>
      </c>
      <c r="F183" s="10">
        <v>7.8</v>
      </c>
      <c r="G183" s="10">
        <v>0.66</v>
      </c>
      <c r="H183" s="10">
        <v>48.883829218745461</v>
      </c>
      <c r="I183" s="10">
        <v>54.44444444444445</v>
      </c>
      <c r="J183" s="10">
        <v>85.298000000000002</v>
      </c>
      <c r="K183" s="10">
        <v>51.508594373228419</v>
      </c>
      <c r="L183" s="6" t="s">
        <v>67</v>
      </c>
      <c r="M183" s="6" t="s">
        <v>298</v>
      </c>
      <c r="N183" s="11" t="str">
        <f>VLOOKUP(Séparateur[[#This Row],[Puits]],Puits!$A$1:$F$267,3,FALSE)</f>
        <v>Centre</v>
      </c>
      <c r="O183" s="34">
        <f>(Séparateur[[#This Row],[Qw (sm3/j)]]/(Séparateur[[#This Row],[Qg (Msm3/j)]]*1000))*1000000</f>
        <v>1.2981418869082391</v>
      </c>
      <c r="P183" s="34">
        <f>(Séparateur[[#This Row],[Qc (sm3/j)]]/(Séparateur[[#This Row],[Qg (Msm3/j)]]*1000))*1000000</f>
        <v>15.34167684527919</v>
      </c>
      <c r="Q183" s="46">
        <v>0.751</v>
      </c>
      <c r="R183" s="46">
        <v>0.70099999999999996</v>
      </c>
      <c r="S183" s="34">
        <v>4</v>
      </c>
    </row>
    <row r="184" spans="1:19" x14ac:dyDescent="0.25">
      <c r="A184" s="6">
        <v>52</v>
      </c>
      <c r="B184" s="7" t="s">
        <v>155</v>
      </c>
      <c r="C184" s="8">
        <v>45378</v>
      </c>
      <c r="D184" s="7">
        <v>2125</v>
      </c>
      <c r="E184" s="42">
        <v>303.69400000000002</v>
      </c>
      <c r="F184" s="10">
        <v>4.8</v>
      </c>
      <c r="G184" s="10">
        <v>0.42</v>
      </c>
      <c r="H184" s="10">
        <v>53.710159324968565</v>
      </c>
      <c r="I184" s="10">
        <v>51.666666666666671</v>
      </c>
      <c r="J184" s="10"/>
      <c r="K184" s="10"/>
      <c r="L184" s="6" t="s">
        <v>67</v>
      </c>
      <c r="M184" s="6" t="s">
        <v>298</v>
      </c>
      <c r="N184" s="11" t="str">
        <f>VLOOKUP(Séparateur[[#This Row],[Puits]],Puits!$A$1:$F$267,3,FALSE)</f>
        <v>Centre</v>
      </c>
      <c r="O184" s="34">
        <f>(Séparateur[[#This Row],[Qw (sm3/j)]]/(Séparateur[[#This Row],[Qg (Msm3/j)]]*1000))*1000000</f>
        <v>1.3829710168788318</v>
      </c>
      <c r="P184" s="34">
        <f>(Séparateur[[#This Row],[Qc (sm3/j)]]/(Séparateur[[#This Row],[Qg (Msm3/j)]]*1000))*1000000</f>
        <v>15.805383050043794</v>
      </c>
      <c r="Q184" s="46">
        <v>0.75</v>
      </c>
      <c r="R184" s="46">
        <v>0.70199999999999996</v>
      </c>
      <c r="S184" s="34">
        <v>4</v>
      </c>
    </row>
    <row r="185" spans="1:19" x14ac:dyDescent="0.25">
      <c r="A185" s="6">
        <v>53</v>
      </c>
      <c r="B185" s="7" t="s">
        <v>157</v>
      </c>
      <c r="C185" s="8">
        <v>45379</v>
      </c>
      <c r="D185" s="7">
        <v>2100</v>
      </c>
      <c r="E185" s="42">
        <v>776.39300000000003</v>
      </c>
      <c r="F185" s="10">
        <v>5.04</v>
      </c>
      <c r="G185" s="10">
        <v>0.94</v>
      </c>
      <c r="H185" s="10">
        <v>42.195914642979155</v>
      </c>
      <c r="I185" s="10">
        <v>46.111111111111114</v>
      </c>
      <c r="J185" s="10">
        <v>86.4</v>
      </c>
      <c r="K185" s="10">
        <v>54.602340918890384</v>
      </c>
      <c r="L185" s="6" t="s">
        <v>67</v>
      </c>
      <c r="M185" s="6" t="s">
        <v>298</v>
      </c>
      <c r="N185" s="11" t="str">
        <f>VLOOKUP(Séparateur[[#This Row],[Puits]],Puits!$A$1:$F$267,3,FALSE)</f>
        <v>Centre</v>
      </c>
      <c r="O185" s="34">
        <f>(Séparateur[[#This Row],[Qw (sm3/j)]]/(Séparateur[[#This Row],[Qg (Msm3/j)]]*1000))*1000000</f>
        <v>1.2107270415884739</v>
      </c>
      <c r="P185" s="34">
        <f>(Séparateur[[#This Row],[Qc (sm3/j)]]/(Séparateur[[#This Row],[Qg (Msm3/j)]]*1000))*1000000</f>
        <v>6.4915577548999028</v>
      </c>
      <c r="Q185" s="46">
        <v>0.77100000000000002</v>
      </c>
      <c r="R185" s="46">
        <v>0.69499999999999995</v>
      </c>
      <c r="S185" s="34">
        <v>12</v>
      </c>
    </row>
    <row r="186" spans="1:19" x14ac:dyDescent="0.25">
      <c r="A186" s="6">
        <v>53</v>
      </c>
      <c r="B186" s="7" t="s">
        <v>157</v>
      </c>
      <c r="C186" s="8">
        <v>45379</v>
      </c>
      <c r="D186" s="7">
        <v>2100</v>
      </c>
      <c r="E186" s="42">
        <v>527.42200000000003</v>
      </c>
      <c r="F186" s="10">
        <v>3.84</v>
      </c>
      <c r="G186" s="10">
        <v>0.84</v>
      </c>
      <c r="H186" s="10">
        <v>53.158578741400213</v>
      </c>
      <c r="I186" s="10">
        <v>47.222222222222221</v>
      </c>
      <c r="J186" s="10">
        <v>88.9</v>
      </c>
      <c r="K186" s="10">
        <v>64.872771384933145</v>
      </c>
      <c r="L186" s="6" t="s">
        <v>68</v>
      </c>
      <c r="M186" s="6" t="s">
        <v>298</v>
      </c>
      <c r="N186" s="11" t="str">
        <f>VLOOKUP(Séparateur[[#This Row],[Puits]],Puits!$A$1:$F$267,3,FALSE)</f>
        <v>Centre</v>
      </c>
      <c r="O186" s="34">
        <f>(Séparateur[[#This Row],[Qw (sm3/j)]]/(Séparateur[[#This Row],[Qg (Msm3/j)]]*1000))*1000000</f>
        <v>1.5926525628434156</v>
      </c>
      <c r="P186" s="34">
        <f>(Séparateur[[#This Row],[Qc (sm3/j)]]/(Séparateur[[#This Row],[Qg (Msm3/j)]]*1000))*1000000</f>
        <v>7.2806974301413288</v>
      </c>
      <c r="Q186" s="46">
        <v>0.77400000000000002</v>
      </c>
      <c r="R186" s="46">
        <v>0.69899999999999995</v>
      </c>
      <c r="S186" s="34">
        <v>10</v>
      </c>
    </row>
    <row r="187" spans="1:19" x14ac:dyDescent="0.25">
      <c r="A187" s="6">
        <v>53</v>
      </c>
      <c r="B187" s="7" t="s">
        <v>157</v>
      </c>
      <c r="C187" s="8">
        <v>45379</v>
      </c>
      <c r="D187" s="7">
        <v>2100</v>
      </c>
      <c r="E187" s="42">
        <v>322.96300000000002</v>
      </c>
      <c r="F187" s="10">
        <v>2.64</v>
      </c>
      <c r="G187" s="10">
        <v>0.72</v>
      </c>
      <c r="H187" s="10">
        <v>58.605437004137713</v>
      </c>
      <c r="I187" s="10">
        <v>47.777777777777779</v>
      </c>
      <c r="J187" s="10">
        <v>90.1</v>
      </c>
      <c r="K187" s="10">
        <v>69.670832986248371</v>
      </c>
      <c r="L187" s="6" t="s">
        <v>68</v>
      </c>
      <c r="M187" s="6" t="s">
        <v>298</v>
      </c>
      <c r="N187" s="11" t="str">
        <f>VLOOKUP(Séparateur[[#This Row],[Puits]],Puits!$A$1:$F$267,3,FALSE)</f>
        <v>Centre</v>
      </c>
      <c r="O187" s="34">
        <f>(Séparateur[[#This Row],[Qw (sm3/j)]]/(Séparateur[[#This Row],[Qg (Msm3/j)]]*1000))*1000000</f>
        <v>2.2293575425048688</v>
      </c>
      <c r="P187" s="34">
        <f>(Séparateur[[#This Row],[Qc (sm3/j)]]/(Séparateur[[#This Row],[Qg (Msm3/j)]]*1000))*1000000</f>
        <v>8.1743109891845194</v>
      </c>
      <c r="Q187" s="46">
        <v>0.77500000000000002</v>
      </c>
      <c r="R187" s="46">
        <v>0.70099999999999996</v>
      </c>
      <c r="S187" s="34">
        <v>11</v>
      </c>
    </row>
    <row r="188" spans="1:19" x14ac:dyDescent="0.25">
      <c r="A188" s="6">
        <v>54</v>
      </c>
      <c r="B188" s="7" t="s">
        <v>244</v>
      </c>
      <c r="C188" s="8">
        <v>45380</v>
      </c>
      <c r="D188" s="7">
        <v>2110</v>
      </c>
      <c r="E188" s="42">
        <v>948.23599999999999</v>
      </c>
      <c r="F188" s="10">
        <v>10.199999999999999</v>
      </c>
      <c r="G188" s="10">
        <v>0.96</v>
      </c>
      <c r="H188" s="10">
        <v>44.95381756082093</v>
      </c>
      <c r="I188" s="10">
        <v>51.666666666666671</v>
      </c>
      <c r="J188" s="10">
        <v>87.6</v>
      </c>
      <c r="K188" s="10">
        <v>58.317925624952714</v>
      </c>
      <c r="L188" s="6" t="s">
        <v>67</v>
      </c>
      <c r="M188" s="6" t="s">
        <v>298</v>
      </c>
      <c r="N188" s="11" t="str">
        <f>VLOOKUP(Séparateur[[#This Row],[Puits]],Puits!$A$1:$F$267,3,FALSE)</f>
        <v>Centre</v>
      </c>
      <c r="O188" s="34">
        <f>(Séparateur[[#This Row],[Qw (sm3/j)]]/(Séparateur[[#This Row],[Qg (Msm3/j)]]*1000))*1000000</f>
        <v>1.0124061942385649</v>
      </c>
      <c r="P188" s="34">
        <f>(Séparateur[[#This Row],[Qc (sm3/j)]]/(Séparateur[[#This Row],[Qg (Msm3/j)]]*1000))*1000000</f>
        <v>10.756815813784753</v>
      </c>
      <c r="Q188" s="46">
        <v>0.75800000000000001</v>
      </c>
      <c r="R188" s="46">
        <v>0.69399999999999995</v>
      </c>
      <c r="S188" s="34">
        <v>4</v>
      </c>
    </row>
    <row r="189" spans="1:19" x14ac:dyDescent="0.25">
      <c r="A189" s="6">
        <v>54</v>
      </c>
      <c r="B189" s="7" t="s">
        <v>244</v>
      </c>
      <c r="C189" s="8">
        <v>45380</v>
      </c>
      <c r="D189" s="7">
        <v>2110</v>
      </c>
      <c r="E189" s="42">
        <v>714.06</v>
      </c>
      <c r="F189" s="10">
        <v>7.44</v>
      </c>
      <c r="G189" s="10">
        <v>0.84</v>
      </c>
      <c r="H189" s="10">
        <v>49.849095239990078</v>
      </c>
      <c r="I189" s="10">
        <v>54.44444444444445</v>
      </c>
      <c r="J189" s="10">
        <v>88.4</v>
      </c>
      <c r="K189" s="10">
        <v>61.33093456269485</v>
      </c>
      <c r="L189" s="6" t="s">
        <v>68</v>
      </c>
      <c r="M189" s="6" t="s">
        <v>298</v>
      </c>
      <c r="N189" s="11" t="str">
        <f>VLOOKUP(Séparateur[[#This Row],[Puits]],Puits!$A$1:$F$267,3,FALSE)</f>
        <v>Centre</v>
      </c>
      <c r="O189" s="34">
        <f>(Séparateur[[#This Row],[Qw (sm3/j)]]/(Séparateur[[#This Row],[Qg (Msm3/j)]]*1000))*1000000</f>
        <v>1.1763717334677757</v>
      </c>
      <c r="P189" s="34">
        <f>(Séparateur[[#This Row],[Qc (sm3/j)]]/(Séparateur[[#This Row],[Qg (Msm3/j)]]*1000))*1000000</f>
        <v>10.419292496428872</v>
      </c>
      <c r="Q189" s="46">
        <v>0.754</v>
      </c>
      <c r="R189" s="46">
        <v>0.69599999999999995</v>
      </c>
      <c r="S189" s="34">
        <v>2</v>
      </c>
    </row>
    <row r="190" spans="1:19" x14ac:dyDescent="0.25">
      <c r="A190" s="6">
        <v>54</v>
      </c>
      <c r="B190" s="7" t="s">
        <v>244</v>
      </c>
      <c r="C190" s="8">
        <v>45380</v>
      </c>
      <c r="D190" s="7">
        <v>2110</v>
      </c>
      <c r="E190" s="42">
        <v>413.589</v>
      </c>
      <c r="F190" s="10">
        <v>4.32</v>
      </c>
      <c r="G190" s="10">
        <v>0.24</v>
      </c>
      <c r="H190" s="10">
        <v>54.399635054429005</v>
      </c>
      <c r="I190" s="10">
        <v>55.555555555555557</v>
      </c>
      <c r="J190" s="10">
        <v>89.2</v>
      </c>
      <c r="K190" s="10">
        <v>64.425301636513325</v>
      </c>
      <c r="L190" s="6" t="s">
        <v>68</v>
      </c>
      <c r="M190" s="6" t="s">
        <v>298</v>
      </c>
      <c r="N190" s="11" t="str">
        <f>VLOOKUP(Séparateur[[#This Row],[Puits]],Puits!$A$1:$F$267,3,FALSE)</f>
        <v>Centre</v>
      </c>
      <c r="O190" s="34">
        <f>(Séparateur[[#This Row],[Qw (sm3/j)]]/(Séparateur[[#This Row],[Qg (Msm3/j)]]*1000))*1000000</f>
        <v>0.58028622618106374</v>
      </c>
      <c r="P190" s="34">
        <f>(Séparateur[[#This Row],[Qc (sm3/j)]]/(Séparateur[[#This Row],[Qg (Msm3/j)]]*1000))*1000000</f>
        <v>10.445152071259148</v>
      </c>
      <c r="Q190" s="46">
        <v>0.755</v>
      </c>
      <c r="R190" s="46">
        <v>0.69699999999999995</v>
      </c>
      <c r="S190" s="34">
        <v>3</v>
      </c>
    </row>
    <row r="191" spans="1:19" x14ac:dyDescent="0.25">
      <c r="A191" s="6">
        <v>55</v>
      </c>
      <c r="B191" s="7" t="s">
        <v>233</v>
      </c>
      <c r="C191" s="8">
        <v>45381</v>
      </c>
      <c r="D191" s="7">
        <v>2070</v>
      </c>
      <c r="E191" s="42">
        <v>892.01300000000003</v>
      </c>
      <c r="F191" s="10">
        <v>5.76</v>
      </c>
      <c r="G191" s="10">
        <v>0.78</v>
      </c>
      <c r="H191" s="10">
        <v>50.400675823558437</v>
      </c>
      <c r="I191" s="10">
        <v>58.333333333333336</v>
      </c>
      <c r="J191" s="10">
        <v>85</v>
      </c>
      <c r="K191" s="10">
        <v>64.292922296456922</v>
      </c>
      <c r="L191" s="6" t="s">
        <v>67</v>
      </c>
      <c r="M191" s="6" t="s">
        <v>298</v>
      </c>
      <c r="N191" s="11" t="str">
        <f>VLOOKUP(Séparateur[[#This Row],[Puits]],Puits!$A$1:$F$267,3,FALSE)</f>
        <v>Centre</v>
      </c>
      <c r="O191" s="34">
        <f>(Séparateur[[#This Row],[Qw (sm3/j)]]/(Séparateur[[#This Row],[Qg (Msm3/j)]]*1000))*1000000</f>
        <v>0.87442671799626248</v>
      </c>
      <c r="P191" s="34">
        <f>(Séparateur[[#This Row],[Qc (sm3/j)]]/(Séparateur[[#This Row],[Qg (Msm3/j)]]*1000))*1000000</f>
        <v>6.4573049944339376</v>
      </c>
      <c r="Q191" s="46">
        <v>0.77400000000000002</v>
      </c>
      <c r="R191" s="46">
        <v>0.69299999999999995</v>
      </c>
      <c r="S191" s="34">
        <v>2</v>
      </c>
    </row>
    <row r="192" spans="1:19" x14ac:dyDescent="0.25">
      <c r="A192" s="6">
        <v>55</v>
      </c>
      <c r="B192" s="7" t="s">
        <v>233</v>
      </c>
      <c r="C192" s="8">
        <v>45381</v>
      </c>
      <c r="D192" s="7">
        <v>2070</v>
      </c>
      <c r="E192" s="42">
        <v>623.64800000000002</v>
      </c>
      <c r="F192" s="10">
        <v>4.32</v>
      </c>
      <c r="G192" s="10">
        <v>0.6</v>
      </c>
      <c r="H192" s="10">
        <v>58.674384577083757</v>
      </c>
      <c r="I192" s="10">
        <v>53.888888888888893</v>
      </c>
      <c r="J192" s="10">
        <v>86.5</v>
      </c>
      <c r="K192" s="10">
        <v>70.605072599667281</v>
      </c>
      <c r="L192" s="6" t="s">
        <v>68</v>
      </c>
      <c r="M192" s="6" t="s">
        <v>298</v>
      </c>
      <c r="N192" s="11" t="str">
        <f>VLOOKUP(Séparateur[[#This Row],[Puits]],Puits!$A$1:$F$267,3,FALSE)</f>
        <v>Centre</v>
      </c>
      <c r="O192" s="34">
        <f>(Séparateur[[#This Row],[Qw (sm3/j)]]/(Séparateur[[#This Row],[Qg (Msm3/j)]]*1000))*1000000</f>
        <v>0.96208117399558712</v>
      </c>
      <c r="P192" s="34">
        <f>(Séparateur[[#This Row],[Qc (sm3/j)]]/(Séparateur[[#This Row],[Qg (Msm3/j)]]*1000))*1000000</f>
        <v>6.9269844527682292</v>
      </c>
      <c r="Q192" s="46">
        <v>0.77200000000000002</v>
      </c>
      <c r="R192" s="46">
        <v>0.69699999999999995</v>
      </c>
      <c r="S192" s="34">
        <v>2</v>
      </c>
    </row>
    <row r="193" spans="1:19" x14ac:dyDescent="0.25">
      <c r="A193" s="6">
        <v>55</v>
      </c>
      <c r="B193" s="7" t="s">
        <v>233</v>
      </c>
      <c r="C193" s="8">
        <v>45381</v>
      </c>
      <c r="D193" s="7">
        <v>2070</v>
      </c>
      <c r="E193" s="42">
        <v>424.71699999999998</v>
      </c>
      <c r="F193" s="10">
        <v>3.12</v>
      </c>
      <c r="G193" s="10">
        <v>0.36</v>
      </c>
      <c r="H193" s="10">
        <v>63.018081672684552</v>
      </c>
      <c r="I193" s="10">
        <v>54.44444444444445</v>
      </c>
      <c r="J193" s="10">
        <v>87.1</v>
      </c>
      <c r="K193" s="10">
        <v>74.080719751877382</v>
      </c>
      <c r="L193" s="6" t="s">
        <v>68</v>
      </c>
      <c r="M193" s="6" t="s">
        <v>298</v>
      </c>
      <c r="N193" s="11" t="str">
        <f>VLOOKUP(Séparateur[[#This Row],[Puits]],Puits!$A$1:$F$267,3,FALSE)</f>
        <v>Centre</v>
      </c>
      <c r="O193" s="34">
        <f>(Séparateur[[#This Row],[Qw (sm3/j)]]/(Séparateur[[#This Row],[Qg (Msm3/j)]]*1000))*1000000</f>
        <v>0.84762324088746144</v>
      </c>
      <c r="P193" s="34">
        <f>(Séparateur[[#This Row],[Qc (sm3/j)]]/(Séparateur[[#This Row],[Qg (Msm3/j)]]*1000))*1000000</f>
        <v>7.346068087691334</v>
      </c>
      <c r="Q193" s="46">
        <v>0.77100000000000002</v>
      </c>
      <c r="R193" s="46">
        <v>0.69799999999999995</v>
      </c>
      <c r="S193" s="34">
        <v>2</v>
      </c>
    </row>
    <row r="194" spans="1:19" x14ac:dyDescent="0.25">
      <c r="A194" s="6">
        <v>56</v>
      </c>
      <c r="B194" s="7" t="s">
        <v>145</v>
      </c>
      <c r="C194" s="8">
        <v>45382</v>
      </c>
      <c r="D194" s="7">
        <v>2135</v>
      </c>
      <c r="E194" s="42">
        <v>919.45799999999997</v>
      </c>
      <c r="F194" s="10">
        <v>7.32</v>
      </c>
      <c r="G194" s="10">
        <v>1.2</v>
      </c>
      <c r="H194" s="10">
        <v>47.435930186878529</v>
      </c>
      <c r="I194" s="10">
        <v>59.44444444444445</v>
      </c>
      <c r="J194" s="10">
        <v>88.1</v>
      </c>
      <c r="K194" s="10">
        <v>61.201313125556283</v>
      </c>
      <c r="L194" s="6" t="s">
        <v>67</v>
      </c>
      <c r="M194" s="6" t="s">
        <v>298</v>
      </c>
      <c r="N194" s="11" t="str">
        <f>VLOOKUP(Séparateur[[#This Row],[Puits]],Puits!$A$1:$F$267,3,FALSE)</f>
        <v>Centre</v>
      </c>
      <c r="O194" s="34">
        <f>(Séparateur[[#This Row],[Qw (sm3/j)]]/(Séparateur[[#This Row],[Qg (Msm3/j)]]*1000))*1000000</f>
        <v>1.3051167100617973</v>
      </c>
      <c r="P194" s="34">
        <f>(Séparateur[[#This Row],[Qc (sm3/j)]]/(Séparateur[[#This Row],[Qg (Msm3/j)]]*1000))*1000000</f>
        <v>7.9612119313769636</v>
      </c>
      <c r="Q194" s="46">
        <v>0.76900000000000002</v>
      </c>
      <c r="R194" s="46">
        <v>0.69799999999999995</v>
      </c>
      <c r="S194" s="34">
        <v>2</v>
      </c>
    </row>
    <row r="195" spans="1:19" x14ac:dyDescent="0.25">
      <c r="A195" s="6">
        <v>56</v>
      </c>
      <c r="B195" s="7" t="s">
        <v>145</v>
      </c>
      <c r="C195" s="8">
        <v>45382</v>
      </c>
      <c r="D195" s="7">
        <v>2135</v>
      </c>
      <c r="E195" s="42">
        <v>715.60299999999995</v>
      </c>
      <c r="F195" s="10">
        <v>5.76</v>
      </c>
      <c r="G195" s="10">
        <v>0.9</v>
      </c>
      <c r="H195" s="10">
        <v>51.434889417749098</v>
      </c>
      <c r="I195" s="10">
        <v>61.111111111111114</v>
      </c>
      <c r="J195" s="10">
        <v>88.7</v>
      </c>
      <c r="K195" s="10">
        <v>63.468309324022222</v>
      </c>
      <c r="L195" s="6" t="s">
        <v>68</v>
      </c>
      <c r="M195" s="6" t="s">
        <v>298</v>
      </c>
      <c r="N195" s="11" t="str">
        <f>VLOOKUP(Séparateur[[#This Row],[Puits]],Puits!$A$1:$F$267,3,FALSE)</f>
        <v>Centre</v>
      </c>
      <c r="O195" s="34">
        <f>(Séparateur[[#This Row],[Qw (sm3/j)]]/(Séparateur[[#This Row],[Qg (Msm3/j)]]*1000))*1000000</f>
        <v>1.2576805854642867</v>
      </c>
      <c r="P195" s="34">
        <f>(Séparateur[[#This Row],[Qc (sm3/j)]]/(Séparateur[[#This Row],[Qg (Msm3/j)]]*1000))*1000000</f>
        <v>8.0491557469714348</v>
      </c>
      <c r="Q195" s="46">
        <v>0.77</v>
      </c>
      <c r="R195" s="46">
        <v>0.69199999999999995</v>
      </c>
      <c r="S195" s="34">
        <v>2</v>
      </c>
    </row>
    <row r="196" spans="1:19" x14ac:dyDescent="0.25">
      <c r="A196" s="6">
        <v>56</v>
      </c>
      <c r="B196" s="7" t="s">
        <v>145</v>
      </c>
      <c r="C196" s="8">
        <v>45382</v>
      </c>
      <c r="D196" s="7">
        <v>2135</v>
      </c>
      <c r="E196" s="42">
        <v>503.18400000000003</v>
      </c>
      <c r="F196" s="10">
        <v>4.08</v>
      </c>
      <c r="G196" s="10">
        <v>0.72</v>
      </c>
      <c r="H196" s="10">
        <v>54.675425346213189</v>
      </c>
      <c r="I196" s="10">
        <v>60.555555555555557</v>
      </c>
      <c r="J196" s="10">
        <v>89.2</v>
      </c>
      <c r="K196" s="10">
        <v>65.462273133621835</v>
      </c>
      <c r="L196" s="6" t="s">
        <v>68</v>
      </c>
      <c r="M196" s="6" t="s">
        <v>298</v>
      </c>
      <c r="N196" s="11" t="str">
        <f>VLOOKUP(Séparateur[[#This Row],[Puits]],Puits!$A$1:$F$267,3,FALSE)</f>
        <v>Centre</v>
      </c>
      <c r="O196" s="34">
        <f>(Séparateur[[#This Row],[Qw (sm3/j)]]/(Séparateur[[#This Row],[Qg (Msm3/j)]]*1000))*1000000</f>
        <v>1.4308881045502242</v>
      </c>
      <c r="P196" s="34">
        <f>(Séparateur[[#This Row],[Qc (sm3/j)]]/(Séparateur[[#This Row],[Qg (Msm3/j)]]*1000))*1000000</f>
        <v>8.1083659257846037</v>
      </c>
      <c r="Q196" s="46">
        <v>0.77100000000000002</v>
      </c>
      <c r="R196" s="46">
        <v>0.69299999999999995</v>
      </c>
      <c r="S196" s="34">
        <v>2</v>
      </c>
    </row>
    <row r="197" spans="1:19" x14ac:dyDescent="0.25">
      <c r="A197" s="6">
        <v>57</v>
      </c>
      <c r="B197" s="7" t="s">
        <v>135</v>
      </c>
      <c r="C197" s="8">
        <v>45383</v>
      </c>
      <c r="D197" s="7">
        <v>2200</v>
      </c>
      <c r="E197" s="42">
        <v>769.18200000000002</v>
      </c>
      <c r="F197" s="10">
        <v>14.04</v>
      </c>
      <c r="G197" s="10">
        <v>0.78</v>
      </c>
      <c r="H197" s="10">
        <v>42.816442799493551</v>
      </c>
      <c r="I197" s="10">
        <v>42.777777777777779</v>
      </c>
      <c r="J197" s="10">
        <v>86.7</v>
      </c>
      <c r="K197" s="10">
        <v>55.284921891056221</v>
      </c>
      <c r="L197" s="6" t="s">
        <v>67</v>
      </c>
      <c r="M197" s="6" t="s">
        <v>298</v>
      </c>
      <c r="N197" s="11" t="str">
        <f>VLOOKUP(Séparateur[[#This Row],[Puits]],Puits!$A$1:$F$267,3,FALSE)</f>
        <v>Centre</v>
      </c>
      <c r="O197" s="34">
        <f>(Séparateur[[#This Row],[Qw (sm3/j)]]/(Séparateur[[#This Row],[Qg (Msm3/j)]]*1000))*1000000</f>
        <v>1.0140642916760922</v>
      </c>
      <c r="P197" s="34">
        <f>(Séparateur[[#This Row],[Qc (sm3/j)]]/(Séparateur[[#This Row],[Qg (Msm3/j)]]*1000))*1000000</f>
        <v>18.253157250169657</v>
      </c>
      <c r="Q197" s="46">
        <v>0.74</v>
      </c>
      <c r="R197" s="46">
        <v>0.68400000000000005</v>
      </c>
      <c r="S197" s="34">
        <v>2</v>
      </c>
    </row>
    <row r="198" spans="1:19" x14ac:dyDescent="0.25">
      <c r="A198" s="6">
        <v>57</v>
      </c>
      <c r="B198" s="7" t="s">
        <v>135</v>
      </c>
      <c r="C198" s="8">
        <v>45383</v>
      </c>
      <c r="D198" s="7">
        <v>2200</v>
      </c>
      <c r="E198" s="42">
        <v>535.54899999999998</v>
      </c>
      <c r="F198" s="10">
        <v>11.52</v>
      </c>
      <c r="G198" s="10">
        <v>0.6</v>
      </c>
      <c r="H198" s="10">
        <v>51.021203980072833</v>
      </c>
      <c r="I198" s="10">
        <v>50.555555555555557</v>
      </c>
      <c r="J198" s="10">
        <v>88.7</v>
      </c>
      <c r="K198" s="10">
        <v>62.421685166701273</v>
      </c>
      <c r="L198" s="6" t="s">
        <v>68</v>
      </c>
      <c r="M198" s="6" t="s">
        <v>298</v>
      </c>
      <c r="N198" s="11" t="str">
        <f>VLOOKUP(Séparateur[[#This Row],[Puits]],Puits!$A$1:$F$267,3,FALSE)</f>
        <v>Centre</v>
      </c>
      <c r="O198" s="34">
        <f>(Séparateur[[#This Row],[Qw (sm3/j)]]/(Séparateur[[#This Row],[Qg (Msm3/j)]]*1000))*1000000</f>
        <v>1.120345663982194</v>
      </c>
      <c r="P198" s="34">
        <f>(Séparateur[[#This Row],[Qc (sm3/j)]]/(Séparateur[[#This Row],[Qg (Msm3/j)]]*1000))*1000000</f>
        <v>21.510636748458126</v>
      </c>
      <c r="Q198" s="46">
        <v>0.73899999999999999</v>
      </c>
      <c r="R198" s="46">
        <v>0.68600000000000005</v>
      </c>
      <c r="S198" s="34">
        <v>2</v>
      </c>
    </row>
    <row r="199" spans="1:19" x14ac:dyDescent="0.25">
      <c r="A199" s="6">
        <v>57</v>
      </c>
      <c r="B199" s="7" t="s">
        <v>135</v>
      </c>
      <c r="C199" s="8">
        <v>45383</v>
      </c>
      <c r="D199" s="7">
        <v>2200</v>
      </c>
      <c r="E199" s="42">
        <v>503.18400000000003</v>
      </c>
      <c r="F199" s="10">
        <v>4.08</v>
      </c>
      <c r="G199" s="10">
        <v>0.36</v>
      </c>
      <c r="H199" s="10">
        <v>55.916481659241981</v>
      </c>
      <c r="I199" s="10">
        <v>55</v>
      </c>
      <c r="J199" s="10">
        <v>89.9</v>
      </c>
      <c r="K199" s="10">
        <v>66.986703971458866</v>
      </c>
      <c r="L199" s="6" t="s">
        <v>68</v>
      </c>
      <c r="M199" s="6" t="s">
        <v>298</v>
      </c>
      <c r="N199" s="11" t="str">
        <f>VLOOKUP(Séparateur[[#This Row],[Puits]],Puits!$A$1:$F$267,3,FALSE)</f>
        <v>Centre</v>
      </c>
      <c r="O199" s="34">
        <f>(Séparateur[[#This Row],[Qw (sm3/j)]]/(Séparateur[[#This Row],[Qg (Msm3/j)]]*1000))*1000000</f>
        <v>0.7154440522751121</v>
      </c>
      <c r="P199" s="34">
        <f>(Séparateur[[#This Row],[Qc (sm3/j)]]/(Séparateur[[#This Row],[Qg (Msm3/j)]]*1000))*1000000</f>
        <v>8.1083659257846037</v>
      </c>
      <c r="Q199" s="46">
        <v>0.74199999999999999</v>
      </c>
      <c r="R199" s="46">
        <v>0.68700000000000006</v>
      </c>
      <c r="S199" s="34">
        <v>2</v>
      </c>
    </row>
    <row r="200" spans="1:19" x14ac:dyDescent="0.25">
      <c r="A200" s="6">
        <v>58</v>
      </c>
      <c r="B200" s="7" t="s">
        <v>186</v>
      </c>
      <c r="C200" s="8">
        <v>45384</v>
      </c>
      <c r="D200" s="7">
        <v>2160</v>
      </c>
      <c r="E200" s="42">
        <v>921.97500000000002</v>
      </c>
      <c r="F200" s="10">
        <v>10.199999999999999</v>
      </c>
      <c r="G200" s="10">
        <v>1.02</v>
      </c>
      <c r="H200" s="10">
        <v>44.746974841982798</v>
      </c>
      <c r="I200" s="10">
        <v>56.111111111111114</v>
      </c>
      <c r="J200" s="10">
        <v>90</v>
      </c>
      <c r="K200" s="10">
        <v>58.73505844127628</v>
      </c>
      <c r="L200" s="6" t="s">
        <v>67</v>
      </c>
      <c r="M200" s="6" t="s">
        <v>298</v>
      </c>
      <c r="N200" s="11" t="str">
        <f>VLOOKUP(Séparateur[[#This Row],[Puits]],Puits!$A$1:$F$267,3,FALSE)</f>
        <v>Centre</v>
      </c>
      <c r="O200" s="34">
        <f>(Séparateur[[#This Row],[Qw (sm3/j)]]/(Séparateur[[#This Row],[Qg (Msm3/j)]]*1000))*1000000</f>
        <v>1.1063206703001709</v>
      </c>
      <c r="P200" s="34">
        <f>(Séparateur[[#This Row],[Qc (sm3/j)]]/(Séparateur[[#This Row],[Qg (Msm3/j)]]*1000))*1000000</f>
        <v>11.063206703001708</v>
      </c>
      <c r="Q200" s="46">
        <v>0.76600000000000001</v>
      </c>
      <c r="R200" s="46">
        <v>0.68700000000000006</v>
      </c>
      <c r="S200" s="34">
        <v>10</v>
      </c>
    </row>
    <row r="201" spans="1:19" x14ac:dyDescent="0.25">
      <c r="A201" s="6">
        <v>58</v>
      </c>
      <c r="B201" s="7" t="s">
        <v>186</v>
      </c>
      <c r="C201" s="8">
        <v>45384</v>
      </c>
      <c r="D201" s="7">
        <v>2160</v>
      </c>
      <c r="E201" s="42">
        <v>711.81600000000003</v>
      </c>
      <c r="F201" s="10">
        <v>8.4</v>
      </c>
      <c r="G201" s="10">
        <v>0.84</v>
      </c>
      <c r="H201" s="10">
        <v>49.986990385882166</v>
      </c>
      <c r="I201" s="10">
        <v>59.44444444444445</v>
      </c>
      <c r="J201" s="10">
        <v>90.9</v>
      </c>
      <c r="K201" s="10">
        <v>62.134173787516261</v>
      </c>
      <c r="L201" s="6" t="s">
        <v>68</v>
      </c>
      <c r="M201" s="6" t="s">
        <v>298</v>
      </c>
      <c r="N201" s="11" t="str">
        <f>VLOOKUP(Séparateur[[#This Row],[Puits]],Puits!$A$1:$F$267,3,FALSE)</f>
        <v>Centre</v>
      </c>
      <c r="O201" s="34">
        <f>(Séparateur[[#This Row],[Qw (sm3/j)]]/(Séparateur[[#This Row],[Qg (Msm3/j)]]*1000))*1000000</f>
        <v>1.1800802454566912</v>
      </c>
      <c r="P201" s="34">
        <f>(Séparateur[[#This Row],[Qc (sm3/j)]]/(Séparateur[[#This Row],[Qg (Msm3/j)]]*1000))*1000000</f>
        <v>11.800802454566909</v>
      </c>
      <c r="Q201" s="46">
        <v>0.76800000000000002</v>
      </c>
      <c r="R201" s="46">
        <v>0.68899999999999995</v>
      </c>
      <c r="S201" s="34">
        <v>10</v>
      </c>
    </row>
    <row r="202" spans="1:19" x14ac:dyDescent="0.25">
      <c r="A202" s="6">
        <v>58</v>
      </c>
      <c r="B202" s="7" t="s">
        <v>186</v>
      </c>
      <c r="C202" s="8">
        <v>45384</v>
      </c>
      <c r="D202" s="7">
        <v>2160</v>
      </c>
      <c r="E202" s="42">
        <v>515.78</v>
      </c>
      <c r="F202" s="10">
        <v>6.6</v>
      </c>
      <c r="G202" s="10">
        <v>0.48</v>
      </c>
      <c r="H202" s="10">
        <v>53.985949616752741</v>
      </c>
      <c r="I202" s="10">
        <v>61.666666666666671</v>
      </c>
      <c r="J202" s="10">
        <v>91.6</v>
      </c>
      <c r="K202" s="10">
        <v>64.943097909338107</v>
      </c>
      <c r="L202" s="6" t="s">
        <v>68</v>
      </c>
      <c r="M202" s="6" t="s">
        <v>298</v>
      </c>
      <c r="N202" s="11" t="str">
        <f>VLOOKUP(Séparateur[[#This Row],[Puits]],Puits!$A$1:$F$267,3,FALSE)</f>
        <v>Centre</v>
      </c>
      <c r="O202" s="34">
        <f>(Séparateur[[#This Row],[Qw (sm3/j)]]/(Séparateur[[#This Row],[Qg (Msm3/j)]]*1000))*1000000</f>
        <v>0.93062933808988324</v>
      </c>
      <c r="P202" s="34">
        <f>(Séparateur[[#This Row],[Qc (sm3/j)]]/(Séparateur[[#This Row],[Qg (Msm3/j)]]*1000))*1000000</f>
        <v>12.796153398735894</v>
      </c>
      <c r="Q202" s="46">
        <v>0.76900000000000002</v>
      </c>
      <c r="R202" s="46">
        <v>0.68899999999999995</v>
      </c>
      <c r="S202" s="34">
        <v>10</v>
      </c>
    </row>
    <row r="203" spans="1:19" x14ac:dyDescent="0.25">
      <c r="A203" s="6">
        <v>59</v>
      </c>
      <c r="B203" s="7" t="s">
        <v>221</v>
      </c>
      <c r="C203" s="8">
        <v>45385</v>
      </c>
      <c r="D203" s="7">
        <v>2095</v>
      </c>
      <c r="E203" s="42">
        <v>955.63099999999997</v>
      </c>
      <c r="F203" s="10">
        <v>2.2799999999999998</v>
      </c>
      <c r="G203" s="10">
        <v>0.96</v>
      </c>
      <c r="H203" s="10">
        <v>45.367502998497194</v>
      </c>
      <c r="I203" s="10">
        <v>56.666666666666671</v>
      </c>
      <c r="J203" s="10">
        <v>86.9</v>
      </c>
      <c r="K203" s="10">
        <v>61.039975804862536</v>
      </c>
      <c r="L203" s="6" t="s">
        <v>67</v>
      </c>
      <c r="M203" s="6" t="s">
        <v>298</v>
      </c>
      <c r="N203" s="11" t="str">
        <f>VLOOKUP(Séparateur[[#This Row],[Puits]],Puits!$A$1:$F$267,3,FALSE)</f>
        <v>Centre</v>
      </c>
      <c r="O203" s="34">
        <f>(Séparateur[[#This Row],[Qw (sm3/j)]]/(Séparateur[[#This Row],[Qg (Msm3/j)]]*1000))*1000000</f>
        <v>1.0045718483389507</v>
      </c>
      <c r="P203" s="34">
        <f>(Séparateur[[#This Row],[Qc (sm3/j)]]/(Séparateur[[#This Row],[Qg (Msm3/j)]]*1000))*1000000</f>
        <v>2.3858581398050078</v>
      </c>
      <c r="Q203" s="46">
        <v>0.79</v>
      </c>
      <c r="R203" s="46">
        <v>0.69499999999999995</v>
      </c>
      <c r="S203" s="34">
        <v>2</v>
      </c>
    </row>
    <row r="204" spans="1:19" x14ac:dyDescent="0.25">
      <c r="A204" s="6">
        <v>59</v>
      </c>
      <c r="B204" s="7" t="s">
        <v>221</v>
      </c>
      <c r="C204" s="8">
        <v>45385</v>
      </c>
      <c r="D204" s="7">
        <v>2095</v>
      </c>
      <c r="E204" s="42">
        <v>729.202</v>
      </c>
      <c r="F204" s="10">
        <v>1.8</v>
      </c>
      <c r="G204" s="10">
        <v>0.72</v>
      </c>
      <c r="H204" s="10">
        <v>50.745413688288657</v>
      </c>
      <c r="I204" s="10">
        <v>62.222222222222229</v>
      </c>
      <c r="J204" s="10">
        <v>87.8</v>
      </c>
      <c r="K204" s="10">
        <v>64.252932704148208</v>
      </c>
      <c r="L204" s="6" t="s">
        <v>68</v>
      </c>
      <c r="M204" s="6" t="s">
        <v>298</v>
      </c>
      <c r="N204" s="11" t="str">
        <f>VLOOKUP(Séparateur[[#This Row],[Puits]],Puits!$A$1:$F$267,3,FALSE)</f>
        <v>Centre</v>
      </c>
      <c r="O204" s="34">
        <f>(Séparateur[[#This Row],[Qw (sm3/j)]]/(Séparateur[[#This Row],[Qg (Msm3/j)]]*1000))*1000000</f>
        <v>0.98738072577968783</v>
      </c>
      <c r="P204" s="34">
        <f>(Séparateur[[#This Row],[Qc (sm3/j)]]/(Séparateur[[#This Row],[Qg (Msm3/j)]]*1000))*1000000</f>
        <v>2.4684518144492196</v>
      </c>
      <c r="Q204" s="46">
        <v>0.79100000000000004</v>
      </c>
      <c r="R204" s="46">
        <v>0.69799999999999995</v>
      </c>
      <c r="S204" s="34">
        <v>2</v>
      </c>
    </row>
    <row r="205" spans="1:19" x14ac:dyDescent="0.25">
      <c r="A205" s="6">
        <v>59</v>
      </c>
      <c r="B205" s="7" t="s">
        <v>221</v>
      </c>
      <c r="C205" s="8">
        <v>45385</v>
      </c>
      <c r="D205" s="7">
        <v>2095</v>
      </c>
      <c r="E205" s="42">
        <v>518.26300000000003</v>
      </c>
      <c r="F205" s="10">
        <v>1.2</v>
      </c>
      <c r="G205" s="10">
        <v>0.48</v>
      </c>
      <c r="H205" s="10">
        <v>54.192792335590873</v>
      </c>
      <c r="I205" s="10">
        <v>63.888888888888893</v>
      </c>
      <c r="J205" s="10">
        <v>88.3</v>
      </c>
      <c r="K205" s="10">
        <v>64.286717014891764</v>
      </c>
      <c r="L205" s="6" t="s">
        <v>68</v>
      </c>
      <c r="M205" s="6" t="s">
        <v>298</v>
      </c>
      <c r="N205" s="11" t="str">
        <f>VLOOKUP(Séparateur[[#This Row],[Puits]],Puits!$A$1:$F$267,3,FALSE)</f>
        <v>Centre</v>
      </c>
      <c r="O205" s="34">
        <f>(Séparateur[[#This Row],[Qw (sm3/j)]]/(Séparateur[[#This Row],[Qg (Msm3/j)]]*1000))*1000000</f>
        <v>0.92617068939901159</v>
      </c>
      <c r="P205" s="34">
        <f>(Séparateur[[#This Row],[Qc (sm3/j)]]/(Séparateur[[#This Row],[Qg (Msm3/j)]]*1000))*1000000</f>
        <v>2.315426723497529</v>
      </c>
      <c r="Q205" s="46">
        <v>0.79100000000000004</v>
      </c>
      <c r="R205" s="46">
        <v>0.69799999999999995</v>
      </c>
      <c r="S205" s="34">
        <v>2</v>
      </c>
    </row>
    <row r="206" spans="1:19" x14ac:dyDescent="0.25">
      <c r="A206" s="6">
        <v>60</v>
      </c>
      <c r="B206" s="7" t="s">
        <v>255</v>
      </c>
      <c r="C206" s="8">
        <v>45386</v>
      </c>
      <c r="D206" s="7">
        <v>2218</v>
      </c>
      <c r="E206" s="42">
        <v>1096.674</v>
      </c>
      <c r="F206" s="10">
        <v>19.68</v>
      </c>
      <c r="G206" s="10">
        <v>0.96</v>
      </c>
      <c r="H206" s="10">
        <v>49.021724364637549</v>
      </c>
      <c r="I206" s="10">
        <v>52.777777777777779</v>
      </c>
      <c r="J206" s="10">
        <v>87.5</v>
      </c>
      <c r="K206" s="10">
        <v>65.780121444903088</v>
      </c>
      <c r="L206" s="6"/>
      <c r="M206" s="6" t="s">
        <v>298</v>
      </c>
      <c r="N206" s="11" t="str">
        <f>VLOOKUP(Séparateur[[#This Row],[Puits]],Puits!$A$1:$F$267,3,FALSE)</f>
        <v>Centre</v>
      </c>
      <c r="O206" s="34">
        <f>(Séparateur[[#This Row],[Qw (sm3/j)]]/(Séparateur[[#This Row],[Qg (Msm3/j)]]*1000))*1000000</f>
        <v>0.8753740856444121</v>
      </c>
      <c r="P206" s="34">
        <f>(Séparateur[[#This Row],[Qc (sm3/j)]]/(Séparateur[[#This Row],[Qg (Msm3/j)]]*1000))*1000000</f>
        <v>17.945168755710448</v>
      </c>
      <c r="Q206" s="46">
        <v>0.79</v>
      </c>
      <c r="R206" s="46">
        <v>0.69299999999999995</v>
      </c>
      <c r="S206" s="34">
        <v>2</v>
      </c>
    </row>
    <row r="207" spans="1:19" x14ac:dyDescent="0.25">
      <c r="A207" s="6">
        <v>60</v>
      </c>
      <c r="B207" s="7" t="s">
        <v>255</v>
      </c>
      <c r="C207" s="8">
        <v>45386</v>
      </c>
      <c r="D207" s="7">
        <v>2218</v>
      </c>
      <c r="E207" s="42">
        <v>747.52499999999998</v>
      </c>
      <c r="F207" s="10">
        <v>14.88</v>
      </c>
      <c r="G207" s="10">
        <v>0.72</v>
      </c>
      <c r="H207" s="10">
        <v>57.226485545216825</v>
      </c>
      <c r="I207" s="10">
        <v>53.888888888888893</v>
      </c>
      <c r="J207" s="10">
        <v>89.1</v>
      </c>
      <c r="K207" s="10">
        <v>71.3717696108273</v>
      </c>
      <c r="L207" s="6"/>
      <c r="M207" s="6" t="s">
        <v>298</v>
      </c>
      <c r="N207" s="11" t="str">
        <f>VLOOKUP(Séparateur[[#This Row],[Puits]],Puits!$A$1:$F$267,3,FALSE)</f>
        <v>Centre</v>
      </c>
      <c r="O207" s="34">
        <f>(Séparateur[[#This Row],[Qw (sm3/j)]]/(Séparateur[[#This Row],[Qg (Msm3/j)]]*1000))*1000000</f>
        <v>0.96317848901374536</v>
      </c>
      <c r="P207" s="34">
        <f>(Séparateur[[#This Row],[Qc (sm3/j)]]/(Séparateur[[#This Row],[Qg (Msm3/j)]]*1000))*1000000</f>
        <v>19.905688772950739</v>
      </c>
      <c r="Q207" s="46">
        <v>0.79</v>
      </c>
      <c r="R207" s="46">
        <v>0.69399999999999995</v>
      </c>
      <c r="S207" s="34">
        <v>2</v>
      </c>
    </row>
    <row r="208" spans="1:19" x14ac:dyDescent="0.25">
      <c r="A208" s="6">
        <v>60</v>
      </c>
      <c r="B208" s="7" t="s">
        <v>255</v>
      </c>
      <c r="C208" s="8">
        <v>45386</v>
      </c>
      <c r="D208" s="7">
        <v>2218</v>
      </c>
      <c r="E208" s="42">
        <v>504.67599999999999</v>
      </c>
      <c r="F208" s="10">
        <v>10.8</v>
      </c>
      <c r="G208" s="10">
        <v>0.48</v>
      </c>
      <c r="H208" s="10">
        <v>61.2254447760874</v>
      </c>
      <c r="I208" s="10">
        <v>53.888888888888893</v>
      </c>
      <c r="J208" s="10">
        <v>89.9</v>
      </c>
      <c r="K208" s="10">
        <v>74.22757808225245</v>
      </c>
      <c r="L208" s="6"/>
      <c r="M208" s="6" t="s">
        <v>298</v>
      </c>
      <c r="N208" s="11" t="str">
        <f>VLOOKUP(Séparateur[[#This Row],[Puits]],Puits!$A$1:$F$267,3,FALSE)</f>
        <v>Centre</v>
      </c>
      <c r="O208" s="34">
        <f>(Séparateur[[#This Row],[Qw (sm3/j)]]/(Séparateur[[#This Row],[Qg (Msm3/j)]]*1000))*1000000</f>
        <v>0.9511052635750461</v>
      </c>
      <c r="P208" s="34">
        <f>(Séparateur[[#This Row],[Qc (sm3/j)]]/(Séparateur[[#This Row],[Qg (Msm3/j)]]*1000))*1000000</f>
        <v>21.399868430438538</v>
      </c>
      <c r="Q208" s="46">
        <v>0.79200000000000004</v>
      </c>
      <c r="R208" s="46">
        <v>0.69599999999999995</v>
      </c>
      <c r="S208" s="34">
        <v>2</v>
      </c>
    </row>
    <row r="209" spans="1:19" x14ac:dyDescent="0.25">
      <c r="A209" s="6">
        <v>61</v>
      </c>
      <c r="B209" s="7" t="s">
        <v>234</v>
      </c>
      <c r="C209" s="8">
        <v>45387</v>
      </c>
      <c r="D209" s="7">
        <v>2140</v>
      </c>
      <c r="E209" s="42">
        <v>859.36</v>
      </c>
      <c r="F209" s="10">
        <v>9.6</v>
      </c>
      <c r="G209" s="10">
        <v>0.72</v>
      </c>
      <c r="H209" s="10">
        <v>45.436450571443238</v>
      </c>
      <c r="I209" s="10">
        <v>58.333333333333336</v>
      </c>
      <c r="J209" s="10">
        <v>87.5</v>
      </c>
      <c r="K209" s="10">
        <v>58.850890363825627</v>
      </c>
      <c r="L209" s="6" t="s">
        <v>67</v>
      </c>
      <c r="M209" s="6" t="s">
        <v>298</v>
      </c>
      <c r="N209" s="11" t="str">
        <f>VLOOKUP(Séparateur[[#This Row],[Puits]],Puits!$A$1:$F$267,3,FALSE)</f>
        <v>Centre</v>
      </c>
      <c r="O209" s="34">
        <f>(Séparateur[[#This Row],[Qw (sm3/j)]]/(Séparateur[[#This Row],[Qg (Msm3/j)]]*1000))*1000000</f>
        <v>0.83783280580897412</v>
      </c>
      <c r="P209" s="34">
        <f>(Séparateur[[#This Row],[Qc (sm3/j)]]/(Séparateur[[#This Row],[Qg (Msm3/j)]]*1000))*1000000</f>
        <v>11.171104077452988</v>
      </c>
      <c r="Q209" s="46">
        <v>0.755</v>
      </c>
      <c r="R209" s="46">
        <v>0.68200000000000005</v>
      </c>
      <c r="S209" s="34">
        <v>2</v>
      </c>
    </row>
    <row r="210" spans="1:19" x14ac:dyDescent="0.25">
      <c r="A210" s="6">
        <v>61</v>
      </c>
      <c r="B210" s="7" t="s">
        <v>234</v>
      </c>
      <c r="C210" s="8">
        <v>45387</v>
      </c>
      <c r="D210" s="7">
        <v>2140</v>
      </c>
      <c r="E210" s="42">
        <v>588.89300000000003</v>
      </c>
      <c r="F210" s="10">
        <v>6.96</v>
      </c>
      <c r="G210" s="10">
        <v>0.48</v>
      </c>
      <c r="H210" s="10">
        <v>52.055417574263501</v>
      </c>
      <c r="I210" s="10">
        <v>61.666666666666671</v>
      </c>
      <c r="J210" s="10">
        <v>88.6</v>
      </c>
      <c r="K210" s="10">
        <v>63.318693090729312</v>
      </c>
      <c r="L210" s="6" t="s">
        <v>68</v>
      </c>
      <c r="M210" s="6" t="s">
        <v>298</v>
      </c>
      <c r="N210" s="11" t="str">
        <f>VLOOKUP(Séparateur[[#This Row],[Puits]],Puits!$A$1:$F$267,3,FALSE)</f>
        <v>Centre</v>
      </c>
      <c r="O210" s="34">
        <f>(Séparateur[[#This Row],[Qw (sm3/j)]]/(Séparateur[[#This Row],[Qg (Msm3/j)]]*1000))*1000000</f>
        <v>0.81508864938112702</v>
      </c>
      <c r="P210" s="34">
        <f>(Séparateur[[#This Row],[Qc (sm3/j)]]/(Séparateur[[#This Row],[Qg (Msm3/j)]]*1000))*1000000</f>
        <v>11.818785416026341</v>
      </c>
      <c r="Q210" s="46">
        <v>0.75600000000000001</v>
      </c>
      <c r="R210" s="46">
        <v>0.68300000000000005</v>
      </c>
      <c r="S210" s="34">
        <v>2</v>
      </c>
    </row>
    <row r="211" spans="1:19" x14ac:dyDescent="0.25">
      <c r="A211" s="6">
        <v>61</v>
      </c>
      <c r="B211" s="7" t="s">
        <v>234</v>
      </c>
      <c r="C211" s="8">
        <v>45387</v>
      </c>
      <c r="D211" s="7">
        <v>2140</v>
      </c>
      <c r="E211" s="42">
        <v>438.86500000000001</v>
      </c>
      <c r="F211" s="10">
        <v>5.28</v>
      </c>
      <c r="G211" s="10">
        <v>0.36</v>
      </c>
      <c r="H211" s="10">
        <v>54.675425346213189</v>
      </c>
      <c r="I211" s="10">
        <v>61.666666666666671</v>
      </c>
      <c r="J211" s="10">
        <v>89.1</v>
      </c>
      <c r="K211" s="10">
        <v>65.288525249797786</v>
      </c>
      <c r="L211" s="6" t="s">
        <v>68</v>
      </c>
      <c r="M211" s="6" t="s">
        <v>298</v>
      </c>
      <c r="N211" s="11" t="str">
        <f>VLOOKUP(Séparateur[[#This Row],[Puits]],Puits!$A$1:$F$267,3,FALSE)</f>
        <v>Centre</v>
      </c>
      <c r="O211" s="34">
        <f>(Séparateur[[#This Row],[Qw (sm3/j)]]/(Séparateur[[#This Row],[Qg (Msm3/j)]]*1000))*1000000</f>
        <v>0.82029781367846599</v>
      </c>
      <c r="P211" s="34">
        <f>(Séparateur[[#This Row],[Qc (sm3/j)]]/(Séparateur[[#This Row],[Qg (Msm3/j)]]*1000))*1000000</f>
        <v>12.031034600617502</v>
      </c>
      <c r="Q211" s="46">
        <v>0.75700000000000001</v>
      </c>
      <c r="R211" s="46">
        <v>0.68300000000000005</v>
      </c>
      <c r="S211" s="34">
        <v>2</v>
      </c>
    </row>
    <row r="212" spans="1:19" x14ac:dyDescent="0.25">
      <c r="A212" s="6">
        <v>62</v>
      </c>
      <c r="B212" s="7" t="s">
        <v>126</v>
      </c>
      <c r="C212" s="8">
        <v>45388</v>
      </c>
      <c r="D212" s="7">
        <v>2175</v>
      </c>
      <c r="E212" s="42">
        <v>692.50900000000001</v>
      </c>
      <c r="F212" s="10">
        <v>7.08</v>
      </c>
      <c r="G212" s="10">
        <v>0.72</v>
      </c>
      <c r="H212" s="10">
        <v>39.851697162813643</v>
      </c>
      <c r="I212" s="10">
        <v>52.777777777777779</v>
      </c>
      <c r="J212" s="10">
        <v>89.4</v>
      </c>
      <c r="K212" s="10">
        <v>51.234941456205576</v>
      </c>
      <c r="L212" s="6" t="s">
        <v>67</v>
      </c>
      <c r="M212" s="6" t="s">
        <v>298</v>
      </c>
      <c r="N212" s="11" t="str">
        <f>VLOOKUP(Séparateur[[#This Row],[Puits]],Puits!$A$1:$F$267,3,FALSE)</f>
        <v>Centre</v>
      </c>
      <c r="O212" s="34">
        <f>(Séparateur[[#This Row],[Qw (sm3/j)]]/(Séparateur[[#This Row],[Qg (Msm3/j)]]*1000))*1000000</f>
        <v>1.0396976790193342</v>
      </c>
      <c r="P212" s="34">
        <f>(Séparateur[[#This Row],[Qc (sm3/j)]]/(Séparateur[[#This Row],[Qg (Msm3/j)]]*1000))*1000000</f>
        <v>10.223693843690118</v>
      </c>
      <c r="Q212" s="46">
        <v>0.75</v>
      </c>
      <c r="R212" s="46">
        <v>0.68300000000000005</v>
      </c>
      <c r="S212" s="34">
        <v>6</v>
      </c>
    </row>
    <row r="213" spans="1:19" x14ac:dyDescent="0.25">
      <c r="A213" s="6">
        <v>62</v>
      </c>
      <c r="B213" s="7" t="s">
        <v>126</v>
      </c>
      <c r="C213" s="8">
        <v>45388</v>
      </c>
      <c r="D213" s="7">
        <v>2175</v>
      </c>
      <c r="E213" s="42">
        <v>525.61599999999999</v>
      </c>
      <c r="F213" s="10">
        <v>5.76</v>
      </c>
      <c r="G213" s="10">
        <v>0.48</v>
      </c>
      <c r="H213" s="10">
        <v>43.36802338306191</v>
      </c>
      <c r="I213" s="10">
        <v>53.333333333333336</v>
      </c>
      <c r="J213" s="10">
        <v>90</v>
      </c>
      <c r="K213" s="10">
        <v>53.661206548176871</v>
      </c>
      <c r="L213" s="6" t="s">
        <v>68</v>
      </c>
      <c r="M213" s="6" t="s">
        <v>298</v>
      </c>
      <c r="N213" s="11" t="str">
        <f>VLOOKUP(Séparateur[[#This Row],[Puits]],Puits!$A$1:$F$267,3,FALSE)</f>
        <v>Centre</v>
      </c>
      <c r="O213" s="34">
        <f>(Séparateur[[#This Row],[Qw (sm3/j)]]/(Séparateur[[#This Row],[Qg (Msm3/j)]]*1000))*1000000</f>
        <v>0.91321420961310162</v>
      </c>
      <c r="P213" s="34">
        <f>(Séparateur[[#This Row],[Qc (sm3/j)]]/(Séparateur[[#This Row],[Qg (Msm3/j)]]*1000))*1000000</f>
        <v>10.958570515357218</v>
      </c>
      <c r="Q213" s="46">
        <v>0.751</v>
      </c>
      <c r="R213" s="46">
        <v>0.68300000000000005</v>
      </c>
      <c r="S213" s="34">
        <v>6</v>
      </c>
    </row>
    <row r="214" spans="1:19" x14ac:dyDescent="0.25">
      <c r="A214" s="6">
        <v>62</v>
      </c>
      <c r="B214" s="7" t="s">
        <v>126</v>
      </c>
      <c r="C214" s="8">
        <v>45388</v>
      </c>
      <c r="D214" s="7">
        <v>2175</v>
      </c>
      <c r="E214" s="42">
        <v>392.67200000000003</v>
      </c>
      <c r="F214" s="10">
        <v>4.32</v>
      </c>
      <c r="G214" s="10">
        <v>0.24</v>
      </c>
      <c r="H214" s="10">
        <v>46.263821446795774</v>
      </c>
      <c r="I214" s="10">
        <v>52.777777777777779</v>
      </c>
      <c r="J214" s="10">
        <v>90.5</v>
      </c>
      <c r="K214" s="10">
        <v>55.768244377407989</v>
      </c>
      <c r="L214" s="6" t="s">
        <v>68</v>
      </c>
      <c r="M214" s="6" t="s">
        <v>298</v>
      </c>
      <c r="N214" s="11" t="str">
        <f>VLOOKUP(Séparateur[[#This Row],[Puits]],Puits!$A$1:$F$267,3,FALSE)</f>
        <v>Centre</v>
      </c>
      <c r="O214" s="34">
        <f>(Séparateur[[#This Row],[Qw (sm3/j)]]/(Séparateur[[#This Row],[Qg (Msm3/j)]]*1000))*1000000</f>
        <v>0.6111971314481297</v>
      </c>
      <c r="P214" s="34">
        <f>(Séparateur[[#This Row],[Qc (sm3/j)]]/(Séparateur[[#This Row],[Qg (Msm3/j)]]*1000))*1000000</f>
        <v>11.001548366066336</v>
      </c>
      <c r="Q214" s="46">
        <v>0.752</v>
      </c>
      <c r="R214" s="46">
        <v>0.68400000000000005</v>
      </c>
      <c r="S214" s="34">
        <v>6</v>
      </c>
    </row>
    <row r="215" spans="1:19" x14ac:dyDescent="0.25">
      <c r="A215" s="6">
        <v>63</v>
      </c>
      <c r="B215" s="7" t="s">
        <v>185</v>
      </c>
      <c r="C215" s="8">
        <v>45389</v>
      </c>
      <c r="D215" s="7">
        <v>2170</v>
      </c>
      <c r="E215" s="42">
        <v>687.02</v>
      </c>
      <c r="F215" s="10">
        <v>6</v>
      </c>
      <c r="G215" s="10">
        <v>0.72</v>
      </c>
      <c r="H215" s="10">
        <v>44.540132123144666</v>
      </c>
      <c r="I215" s="10">
        <v>51.111111111111114</v>
      </c>
      <c r="J215" s="10">
        <v>87.4</v>
      </c>
      <c r="K215" s="10">
        <v>55.690333619978958</v>
      </c>
      <c r="L215" s="6" t="s">
        <v>67</v>
      </c>
      <c r="M215" s="6" t="s">
        <v>298</v>
      </c>
      <c r="N215" s="11" t="str">
        <f>VLOOKUP(Séparateur[[#This Row],[Puits]],Puits!$A$1:$F$267,3,FALSE)</f>
        <v>Centre</v>
      </c>
      <c r="O215" s="34">
        <f>(Séparateur[[#This Row],[Qw (sm3/j)]]/(Séparateur[[#This Row],[Qg (Msm3/j)]]*1000))*1000000</f>
        <v>1.0480044249075717</v>
      </c>
      <c r="P215" s="34">
        <f>(Séparateur[[#This Row],[Qc (sm3/j)]]/(Séparateur[[#This Row],[Qg (Msm3/j)]]*1000))*1000000</f>
        <v>8.7333702075630999</v>
      </c>
      <c r="Q215" s="46">
        <v>0.76100000000000001</v>
      </c>
      <c r="R215" s="46">
        <v>0.68400000000000005</v>
      </c>
      <c r="S215" s="34">
        <v>2</v>
      </c>
    </row>
    <row r="216" spans="1:19" x14ac:dyDescent="0.25">
      <c r="A216" s="6">
        <v>63</v>
      </c>
      <c r="B216" s="7" t="s">
        <v>185</v>
      </c>
      <c r="C216" s="8">
        <v>45389</v>
      </c>
      <c r="D216" s="7">
        <v>2170</v>
      </c>
      <c r="E216" s="42">
        <v>544.47299999999996</v>
      </c>
      <c r="F216" s="10">
        <v>4.8499999999999996</v>
      </c>
      <c r="G216" s="10">
        <v>0.55000000000000004</v>
      </c>
      <c r="H216" s="10">
        <v>48.401196208123146</v>
      </c>
      <c r="I216" s="10">
        <v>51.111111111111114</v>
      </c>
      <c r="J216" s="10">
        <v>88.1</v>
      </c>
      <c r="K216" s="10">
        <v>58.775737509314446</v>
      </c>
      <c r="L216" s="6" t="s">
        <v>68</v>
      </c>
      <c r="M216" s="6" t="s">
        <v>298</v>
      </c>
      <c r="N216" s="11" t="str">
        <f>VLOOKUP(Séparateur[[#This Row],[Puits]],Puits!$A$1:$F$267,3,FALSE)</f>
        <v>Centre</v>
      </c>
      <c r="O216" s="34">
        <f>(Séparateur[[#This Row],[Qw (sm3/j)]]/(Séparateur[[#This Row],[Qg (Msm3/j)]]*1000))*1000000</f>
        <v>1.010151100238212</v>
      </c>
      <c r="P216" s="34">
        <f>(Séparateur[[#This Row],[Qc (sm3/j)]]/(Séparateur[[#This Row],[Qg (Msm3/j)]]*1000))*1000000</f>
        <v>8.9076960657369604</v>
      </c>
      <c r="Q216" s="46">
        <v>0.76200000000000001</v>
      </c>
      <c r="R216" s="46">
        <v>0.68500000000000005</v>
      </c>
      <c r="S216" s="34">
        <v>2</v>
      </c>
    </row>
    <row r="217" spans="1:19" x14ac:dyDescent="0.25">
      <c r="A217" s="6">
        <v>63</v>
      </c>
      <c r="B217" s="7" t="s">
        <v>185</v>
      </c>
      <c r="C217" s="8">
        <v>45389</v>
      </c>
      <c r="D217" s="7">
        <v>2170</v>
      </c>
      <c r="E217" s="42">
        <v>389.49099999999999</v>
      </c>
      <c r="F217" s="10">
        <v>4.1500000000000004</v>
      </c>
      <c r="G217" s="10">
        <v>0.41</v>
      </c>
      <c r="H217" s="10">
        <v>51.710679709533281</v>
      </c>
      <c r="I217" s="10">
        <v>49.44444444444445</v>
      </c>
      <c r="J217" s="10">
        <v>88.6</v>
      </c>
      <c r="K217" s="10">
        <v>61.472966562963705</v>
      </c>
      <c r="L217" s="6" t="s">
        <v>68</v>
      </c>
      <c r="M217" s="6" t="s">
        <v>298</v>
      </c>
      <c r="N217" s="11" t="str">
        <f>VLOOKUP(Séparateur[[#This Row],[Puits]],Puits!$A$1:$F$267,3,FALSE)</f>
        <v>Centre</v>
      </c>
      <c r="O217" s="34">
        <f>(Séparateur[[#This Row],[Qw (sm3/j)]]/(Séparateur[[#This Row],[Qg (Msm3/j)]]*1000))*1000000</f>
        <v>1.0526559021902944</v>
      </c>
      <c r="P217" s="34">
        <f>(Séparateur[[#This Row],[Qc (sm3/j)]]/(Séparateur[[#This Row],[Qg (Msm3/j)]]*1000))*1000000</f>
        <v>10.654931692901762</v>
      </c>
      <c r="Q217" s="46">
        <v>0.76300000000000001</v>
      </c>
      <c r="R217" s="46">
        <v>0.68500000000000005</v>
      </c>
      <c r="S217" s="34">
        <v>2</v>
      </c>
    </row>
    <row r="218" spans="1:19" x14ac:dyDescent="0.25">
      <c r="A218" s="6">
        <v>64</v>
      </c>
      <c r="B218" s="7" t="s">
        <v>151</v>
      </c>
      <c r="C218" s="8">
        <v>45390</v>
      </c>
      <c r="D218" s="7">
        <v>2130</v>
      </c>
      <c r="E218" s="42">
        <v>697.12599999999998</v>
      </c>
      <c r="F218" s="10">
        <v>3</v>
      </c>
      <c r="G218" s="10">
        <v>36</v>
      </c>
      <c r="H218" s="10">
        <v>40.748015611112223</v>
      </c>
      <c r="I218" s="10">
        <v>54.44444444444445</v>
      </c>
      <c r="J218" s="10">
        <v>86.1</v>
      </c>
      <c r="K218" s="10">
        <v>58.154519877070591</v>
      </c>
      <c r="L218" s="6" t="s">
        <v>67</v>
      </c>
      <c r="M218" s="6" t="s">
        <v>298</v>
      </c>
      <c r="N218" s="11" t="str">
        <f>VLOOKUP(Séparateur[[#This Row],[Puits]],Puits!$A$1:$F$267,3,FALSE)</f>
        <v>Centre</v>
      </c>
      <c r="O218" s="34">
        <f>(Séparateur[[#This Row],[Qw (sm3/j)]]/(Séparateur[[#This Row],[Qg (Msm3/j)]]*1000))*1000000</f>
        <v>51.640592948763931</v>
      </c>
      <c r="P218" s="34">
        <f>(Séparateur[[#This Row],[Qc (sm3/j)]]/(Séparateur[[#This Row],[Qg (Msm3/j)]]*1000))*1000000</f>
        <v>4.3033827457303264</v>
      </c>
      <c r="Q218" s="46">
        <v>0.77200000000000002</v>
      </c>
      <c r="R218" s="46">
        <v>0.69399999999999995</v>
      </c>
      <c r="S218" s="34">
        <v>340</v>
      </c>
    </row>
    <row r="219" spans="1:19" x14ac:dyDescent="0.25">
      <c r="A219" s="6">
        <v>64</v>
      </c>
      <c r="B219" s="7" t="s">
        <v>151</v>
      </c>
      <c r="C219" s="8">
        <v>45390</v>
      </c>
      <c r="D219" s="7">
        <v>2130</v>
      </c>
      <c r="E219" s="42">
        <v>498.44200000000001</v>
      </c>
      <c r="F219" s="10">
        <v>2.16</v>
      </c>
      <c r="G219" s="10">
        <v>21.6</v>
      </c>
      <c r="H219" s="10">
        <v>48.676986499907329</v>
      </c>
      <c r="I219" s="10">
        <v>54.44444444444445</v>
      </c>
      <c r="J219" s="10">
        <v>87.6</v>
      </c>
      <c r="K219" s="10">
        <v>63.744789091535857</v>
      </c>
      <c r="L219" s="6" t="s">
        <v>68</v>
      </c>
      <c r="M219" s="6" t="s">
        <v>298</v>
      </c>
      <c r="N219" s="11" t="str">
        <f>VLOOKUP(Séparateur[[#This Row],[Puits]],Puits!$A$1:$F$267,3,FALSE)</f>
        <v>Centre</v>
      </c>
      <c r="O219" s="34">
        <f>(Séparateur[[#This Row],[Qw (sm3/j)]]/(Séparateur[[#This Row],[Qg (Msm3/j)]]*1000))*1000000</f>
        <v>43.335031959586068</v>
      </c>
      <c r="P219" s="34">
        <f>(Séparateur[[#This Row],[Qc (sm3/j)]]/(Séparateur[[#This Row],[Qg (Msm3/j)]]*1000))*1000000</f>
        <v>4.3335031959586079</v>
      </c>
      <c r="Q219" s="46">
        <v>0.77300000000000002</v>
      </c>
      <c r="R219" s="46">
        <v>0.69499999999999995</v>
      </c>
      <c r="S219" s="34">
        <v>340</v>
      </c>
    </row>
    <row r="220" spans="1:19" x14ac:dyDescent="0.25">
      <c r="A220" s="6">
        <v>64</v>
      </c>
      <c r="B220" s="7" t="s">
        <v>151</v>
      </c>
      <c r="C220" s="8">
        <v>45390</v>
      </c>
      <c r="D220" s="7">
        <v>2130</v>
      </c>
      <c r="E220" s="42">
        <v>311.62799999999999</v>
      </c>
      <c r="F220" s="10">
        <v>0.48</v>
      </c>
      <c r="G220" s="10">
        <v>1.68</v>
      </c>
      <c r="H220" s="10">
        <v>53.089631168454169</v>
      </c>
      <c r="I220" s="10">
        <v>50</v>
      </c>
      <c r="J220" s="10">
        <v>88.4</v>
      </c>
      <c r="K220" s="10">
        <v>67.174930845601565</v>
      </c>
      <c r="L220" s="6" t="s">
        <v>68</v>
      </c>
      <c r="M220" s="6" t="s">
        <v>298</v>
      </c>
      <c r="N220" s="11" t="str">
        <f>VLOOKUP(Séparateur[[#This Row],[Puits]],Puits!$A$1:$F$267,3,FALSE)</f>
        <v>Centre</v>
      </c>
      <c r="O220" s="34">
        <f>(Séparateur[[#This Row],[Qw (sm3/j)]]/(Séparateur[[#This Row],[Qg (Msm3/j)]]*1000))*1000000</f>
        <v>5.3910431668527856</v>
      </c>
      <c r="P220" s="34">
        <f>(Séparateur[[#This Row],[Qc (sm3/j)]]/(Séparateur[[#This Row],[Qg (Msm3/j)]]*1000))*1000000</f>
        <v>1.5402980476722246</v>
      </c>
      <c r="Q220" s="46">
        <v>0.77400000000000002</v>
      </c>
      <c r="R220" s="46">
        <v>0.69499999999999995</v>
      </c>
      <c r="S220" s="34">
        <v>340</v>
      </c>
    </row>
    <row r="221" spans="1:19" x14ac:dyDescent="0.25">
      <c r="A221" s="6">
        <v>65</v>
      </c>
      <c r="B221" s="7" t="s">
        <v>136</v>
      </c>
      <c r="C221" s="8">
        <v>45393</v>
      </c>
      <c r="D221" s="7">
        <v>2120</v>
      </c>
      <c r="E221" s="42">
        <v>831.98900000000003</v>
      </c>
      <c r="F221" s="10">
        <v>16.8</v>
      </c>
      <c r="G221" s="10">
        <v>0.84</v>
      </c>
      <c r="H221" s="10">
        <v>42.678547653601463</v>
      </c>
      <c r="I221" s="10">
        <v>60.555555555555557</v>
      </c>
      <c r="J221" s="10">
        <v>85.2</v>
      </c>
      <c r="K221" s="10">
        <v>55.342148376601429</v>
      </c>
      <c r="L221" s="6" t="s">
        <v>67</v>
      </c>
      <c r="M221" s="6" t="s">
        <v>298</v>
      </c>
      <c r="N221" s="11" t="str">
        <f>VLOOKUP(Séparateur[[#This Row],[Puits]],Puits!$A$1:$F$267,3,FALSE)</f>
        <v>Centre</v>
      </c>
      <c r="O221" s="34">
        <f>(Séparateur[[#This Row],[Qw (sm3/j)]]/(Séparateur[[#This Row],[Qg (Msm3/j)]]*1000))*1000000</f>
        <v>1.009628733072192</v>
      </c>
      <c r="P221" s="34">
        <f>(Séparateur[[#This Row],[Qc (sm3/j)]]/(Séparateur[[#This Row],[Qg (Msm3/j)]]*1000))*1000000</f>
        <v>20.192574661443842</v>
      </c>
      <c r="Q221" s="46">
        <v>0.745</v>
      </c>
      <c r="R221" s="46">
        <v>0.65800000000000003</v>
      </c>
      <c r="S221" s="34">
        <v>58</v>
      </c>
    </row>
    <row r="222" spans="1:19" x14ac:dyDescent="0.25">
      <c r="A222" s="6">
        <v>65</v>
      </c>
      <c r="B222" s="7" t="s">
        <v>136</v>
      </c>
      <c r="C222" s="8">
        <v>45393</v>
      </c>
      <c r="D222" s="7">
        <v>2120</v>
      </c>
      <c r="E222" s="42">
        <v>644.04</v>
      </c>
      <c r="F222" s="10">
        <v>13.92</v>
      </c>
      <c r="G222" s="10">
        <v>0.61</v>
      </c>
      <c r="H222" s="10">
        <v>48.745934072853373</v>
      </c>
      <c r="I222" s="10">
        <v>58.333333333333336</v>
      </c>
      <c r="J222" s="10">
        <v>86.7</v>
      </c>
      <c r="K222" s="10">
        <v>60.542863803921563</v>
      </c>
      <c r="L222" s="6" t="s">
        <v>68</v>
      </c>
      <c r="M222" s="6" t="s">
        <v>298</v>
      </c>
      <c r="N222" s="11" t="str">
        <f>VLOOKUP(Séparateur[[#This Row],[Puits]],Puits!$A$1:$F$267,3,FALSE)</f>
        <v>Centre</v>
      </c>
      <c r="O222" s="34">
        <f>(Séparateur[[#This Row],[Qw (sm3/j)]]/(Séparateur[[#This Row],[Qg (Msm3/j)]]*1000))*1000000</f>
        <v>0.94714613999130493</v>
      </c>
      <c r="P222" s="34">
        <f>(Séparateur[[#This Row],[Qc (sm3/j)]]/(Séparateur[[#This Row],[Qg (Msm3/j)]]*1000))*1000000</f>
        <v>21.613564374883548</v>
      </c>
      <c r="Q222" s="46">
        <v>0.746</v>
      </c>
      <c r="R222" s="46">
        <v>0.65900000000000003</v>
      </c>
      <c r="S222" s="34">
        <v>54.82</v>
      </c>
    </row>
    <row r="223" spans="1:19" x14ac:dyDescent="0.25">
      <c r="A223" s="6">
        <v>65</v>
      </c>
      <c r="B223" s="7" t="s">
        <v>136</v>
      </c>
      <c r="C223" s="8">
        <v>45393</v>
      </c>
      <c r="D223" s="7">
        <v>2120</v>
      </c>
      <c r="E223" s="42">
        <v>444.89100000000002</v>
      </c>
      <c r="F223" s="10">
        <v>10.56</v>
      </c>
      <c r="G223" s="10">
        <v>0.48</v>
      </c>
      <c r="H223" s="10">
        <v>53.641211752022521</v>
      </c>
      <c r="I223" s="10">
        <v>57.222222222222221</v>
      </c>
      <c r="J223" s="10">
        <v>87.8</v>
      </c>
      <c r="K223" s="10">
        <v>64.593533714501675</v>
      </c>
      <c r="L223" s="6" t="s">
        <v>68</v>
      </c>
      <c r="M223" s="6" t="s">
        <v>298</v>
      </c>
      <c r="N223" s="11" t="str">
        <f>VLOOKUP(Séparateur[[#This Row],[Puits]],Puits!$A$1:$F$267,3,FALSE)</f>
        <v>Centre</v>
      </c>
      <c r="O223" s="34">
        <f>(Séparateur[[#This Row],[Qw (sm3/j)]]/(Séparateur[[#This Row],[Qg (Msm3/j)]]*1000))*1000000</f>
        <v>1.0789159591900037</v>
      </c>
      <c r="P223" s="34">
        <f>(Séparateur[[#This Row],[Qc (sm3/j)]]/(Séparateur[[#This Row],[Qg (Msm3/j)]]*1000))*1000000</f>
        <v>23.736151102180084</v>
      </c>
      <c r="Q223" s="46">
        <v>0.747</v>
      </c>
      <c r="R223" s="46">
        <v>0.65900000000000003</v>
      </c>
      <c r="S223" s="34">
        <v>54.82</v>
      </c>
    </row>
    <row r="224" spans="1:19" x14ac:dyDescent="0.25">
      <c r="A224" s="6">
        <v>66</v>
      </c>
      <c r="B224" s="7" t="s">
        <v>236</v>
      </c>
      <c r="C224" s="8">
        <v>45396</v>
      </c>
      <c r="D224" s="7">
        <v>2150</v>
      </c>
      <c r="E224" s="42">
        <v>956.09294775000001</v>
      </c>
      <c r="F224" s="10">
        <v>3.120000000000001</v>
      </c>
      <c r="G224" s="10">
        <v>0.6000000000000002</v>
      </c>
      <c r="H224" s="10">
        <v>45.199486381674305</v>
      </c>
      <c r="I224" s="10">
        <v>52.589000000000006</v>
      </c>
      <c r="J224" s="10">
        <v>83.3</v>
      </c>
      <c r="K224" s="10">
        <v>59.281812694738406</v>
      </c>
      <c r="L224" s="6" t="s">
        <v>67</v>
      </c>
      <c r="M224" s="6" t="s">
        <v>298</v>
      </c>
      <c r="N224" s="11" t="str">
        <f>VLOOKUP(Séparateur[[#This Row],[Puits]],Puits!$A$1:$F$267,3,FALSE)</f>
        <v>Sud</v>
      </c>
      <c r="O224" s="34">
        <f>(Séparateur[[#This Row],[Qw (sm3/j)]]/(Séparateur[[#This Row],[Qg (Msm3/j)]]*1000))*1000000</f>
        <v>0.6275540483924672</v>
      </c>
      <c r="P224" s="34">
        <f>(Séparateur[[#This Row],[Qc (sm3/j)]]/(Séparateur[[#This Row],[Qg (Msm3/j)]]*1000))*1000000</f>
        <v>3.2632810516408295</v>
      </c>
      <c r="Q224" s="46">
        <v>0.80200000000000005</v>
      </c>
      <c r="R224" s="46">
        <v>0.67</v>
      </c>
      <c r="S224" s="34">
        <v>30</v>
      </c>
    </row>
    <row r="225" spans="1:19" x14ac:dyDescent="0.25">
      <c r="A225" s="6">
        <v>66</v>
      </c>
      <c r="B225" s="7" t="s">
        <v>236</v>
      </c>
      <c r="C225" s="8">
        <v>45396</v>
      </c>
      <c r="D225" s="7">
        <v>2150</v>
      </c>
      <c r="E225" s="42">
        <v>733.53620733333332</v>
      </c>
      <c r="F225" s="10">
        <v>2.4</v>
      </c>
      <c r="G225" s="10">
        <v>0.56000000000000005</v>
      </c>
      <c r="H225" s="10">
        <v>50.153613687168438</v>
      </c>
      <c r="I225" s="10">
        <v>53.910666666666664</v>
      </c>
      <c r="J225" s="10">
        <v>84.2</v>
      </c>
      <c r="K225" s="10">
        <v>62.145205399187638</v>
      </c>
      <c r="L225" s="6" t="s">
        <v>68</v>
      </c>
      <c r="M225" s="6" t="s">
        <v>298</v>
      </c>
      <c r="N225" s="11" t="str">
        <f>VLOOKUP(Séparateur[[#This Row],[Puits]],Puits!$A$1:$F$267,3,FALSE)</f>
        <v>Sud</v>
      </c>
      <c r="O225" s="34">
        <f>(Séparateur[[#This Row],[Qw (sm3/j)]]/(Séparateur[[#This Row],[Qg (Msm3/j)]]*1000))*1000000</f>
        <v>0.76342516484060208</v>
      </c>
      <c r="P225" s="34">
        <f>(Séparateur[[#This Row],[Qc (sm3/j)]]/(Séparateur[[#This Row],[Qg (Msm3/j)]]*1000))*1000000</f>
        <v>3.2718221350311514</v>
      </c>
      <c r="Q225" s="46">
        <v>0.80300000000000005</v>
      </c>
      <c r="R225" s="46">
        <v>0.67</v>
      </c>
      <c r="S225" s="34">
        <v>30</v>
      </c>
    </row>
    <row r="226" spans="1:19" x14ac:dyDescent="0.25">
      <c r="A226" s="6">
        <v>66</v>
      </c>
      <c r="B226" s="7" t="s">
        <v>236</v>
      </c>
      <c r="C226" s="8">
        <v>45396</v>
      </c>
      <c r="D226" s="7">
        <v>2150</v>
      </c>
      <c r="E226" s="42">
        <v>477.8047866666667</v>
      </c>
      <c r="F226" s="10">
        <v>1.44</v>
      </c>
      <c r="G226" s="10">
        <v>0.44800000000000001</v>
      </c>
      <c r="H226" s="10">
        <v>54.641112437410371</v>
      </c>
      <c r="I226" s="10">
        <v>54.342999999999996</v>
      </c>
      <c r="J226" s="10">
        <v>84.9</v>
      </c>
      <c r="K226" s="10">
        <v>64.763144743948928</v>
      </c>
      <c r="L226" s="6" t="s">
        <v>68</v>
      </c>
      <c r="M226" s="6" t="s">
        <v>298</v>
      </c>
      <c r="N226" s="11" t="str">
        <f>VLOOKUP(Séparateur[[#This Row],[Puits]],Puits!$A$1:$F$267,3,FALSE)</f>
        <v>Sud</v>
      </c>
      <c r="O226" s="34">
        <f>(Séparateur[[#This Row],[Qw (sm3/j)]]/(Séparateur[[#This Row],[Qg (Msm3/j)]]*1000))*1000000</f>
        <v>0.93762141464802962</v>
      </c>
      <c r="P226" s="34">
        <f>(Séparateur[[#This Row],[Qc (sm3/j)]]/(Séparateur[[#This Row],[Qg (Msm3/j)]]*1000))*1000000</f>
        <v>3.0137831185115234</v>
      </c>
      <c r="Q226" s="46">
        <v>0.80300000000000005</v>
      </c>
      <c r="R226" s="46">
        <v>0.67</v>
      </c>
      <c r="S226" s="34">
        <v>30</v>
      </c>
    </row>
    <row r="227" spans="1:19" x14ac:dyDescent="0.25">
      <c r="A227" s="6">
        <v>67</v>
      </c>
      <c r="B227" s="7" t="s">
        <v>208</v>
      </c>
      <c r="C227" s="8">
        <v>45397</v>
      </c>
      <c r="D227" s="7">
        <v>2150</v>
      </c>
      <c r="E227" s="42">
        <v>927.70754024999997</v>
      </c>
      <c r="F227" s="10">
        <v>10.080000000000004</v>
      </c>
      <c r="G227" s="10">
        <v>0.68400000000000027</v>
      </c>
      <c r="H227" s="10">
        <v>44.935305137484924</v>
      </c>
      <c r="I227" s="10">
        <v>55.393000000000008</v>
      </c>
      <c r="J227" s="10">
        <v>82.5</v>
      </c>
      <c r="K227" s="10">
        <v>59.211486170333444</v>
      </c>
      <c r="L227" s="6" t="s">
        <v>67</v>
      </c>
      <c r="M227" s="6" t="s">
        <v>298</v>
      </c>
      <c r="N227" s="11" t="str">
        <f>VLOOKUP(Séparateur[[#This Row],[Puits]],Puits!$A$1:$F$267,3,FALSE)</f>
        <v>Sud</v>
      </c>
      <c r="O227" s="34">
        <f>(Séparateur[[#This Row],[Qw (sm3/j)]]/(Séparateur[[#This Row],[Qg (Msm3/j)]]*1000))*1000000</f>
        <v>0.7373013264672561</v>
      </c>
      <c r="P227" s="34">
        <f>(Séparateur[[#This Row],[Qc (sm3/j)]]/(Séparateur[[#This Row],[Qg (Msm3/j)]]*1000))*1000000</f>
        <v>10.865493232149037</v>
      </c>
      <c r="Q227" s="46" t="s">
        <v>344</v>
      </c>
      <c r="R227" s="46">
        <v>0.65400000000000003</v>
      </c>
      <c r="S227" s="34">
        <v>68</v>
      </c>
    </row>
    <row r="228" spans="1:19" x14ac:dyDescent="0.25">
      <c r="A228" s="6">
        <v>67</v>
      </c>
      <c r="B228" s="7" t="s">
        <v>208</v>
      </c>
      <c r="C228" s="8">
        <v>45397</v>
      </c>
      <c r="D228" s="7">
        <v>2150</v>
      </c>
      <c r="E228" s="42">
        <v>793.77119600000003</v>
      </c>
      <c r="F228" s="10">
        <v>8.9600000000000009</v>
      </c>
      <c r="G228" s="10">
        <v>0.52800000000000002</v>
      </c>
      <c r="H228" s="10">
        <v>47.66792727857981</v>
      </c>
      <c r="I228" s="10">
        <v>56.962333333333348</v>
      </c>
      <c r="J228" s="10">
        <v>82.9</v>
      </c>
      <c r="K228" s="10">
        <v>60.623532464268429</v>
      </c>
      <c r="L228" s="6" t="s">
        <v>68</v>
      </c>
      <c r="M228" s="6" t="s">
        <v>298</v>
      </c>
      <c r="N228" s="11" t="str">
        <f>VLOOKUP(Séparateur[[#This Row],[Puits]],Puits!$A$1:$F$267,3,FALSE)</f>
        <v>Sud</v>
      </c>
      <c r="O228" s="34">
        <f>(Séparateur[[#This Row],[Qw (sm3/j)]]/(Séparateur[[#This Row],[Qg (Msm3/j)]]*1000))*1000000</f>
        <v>0.66517908770274914</v>
      </c>
      <c r="P228" s="34">
        <f>(Séparateur[[#This Row],[Qc (sm3/j)]]/(Séparateur[[#This Row],[Qg (Msm3/j)]]*1000))*1000000</f>
        <v>11.287887548895137</v>
      </c>
      <c r="Q228" s="46" t="s">
        <v>345</v>
      </c>
      <c r="R228" s="46">
        <v>0.65400000000000003</v>
      </c>
      <c r="S228" s="34">
        <v>68</v>
      </c>
    </row>
    <row r="229" spans="1:19" x14ac:dyDescent="0.25">
      <c r="A229" s="6">
        <v>67</v>
      </c>
      <c r="B229" s="7" t="s">
        <v>208</v>
      </c>
      <c r="C229" s="8">
        <v>45397</v>
      </c>
      <c r="D229" s="7">
        <v>2150</v>
      </c>
      <c r="E229" s="42">
        <v>555.15288299999997</v>
      </c>
      <c r="F229" s="10">
        <v>6.72</v>
      </c>
      <c r="G229" s="10">
        <v>0.432</v>
      </c>
      <c r="H229" s="10">
        <v>51.628563150154534</v>
      </c>
      <c r="I229" s="10">
        <v>55.590333333333341</v>
      </c>
      <c r="J229" s="10">
        <v>83.3</v>
      </c>
      <c r="K229" s="10">
        <v>62.782280973209083</v>
      </c>
      <c r="L229" s="6" t="s">
        <v>68</v>
      </c>
      <c r="M229" s="6" t="s">
        <v>298</v>
      </c>
      <c r="N229" s="11" t="str">
        <f>VLOOKUP(Séparateur[[#This Row],[Puits]],Puits!$A$1:$F$267,3,FALSE)</f>
        <v>Sud</v>
      </c>
      <c r="O229" s="34">
        <f>(Séparateur[[#This Row],[Qw (sm3/j)]]/(Séparateur[[#This Row],[Qg (Msm3/j)]]*1000))*1000000</f>
        <v>0.77816402153134445</v>
      </c>
      <c r="P229" s="34">
        <f>(Séparateur[[#This Row],[Qc (sm3/j)]]/(Séparateur[[#This Row],[Qg (Msm3/j)]]*1000))*1000000</f>
        <v>12.104773668265359</v>
      </c>
      <c r="Q229" s="46" t="s">
        <v>345</v>
      </c>
      <c r="R229" s="46">
        <v>0.65400000000000003</v>
      </c>
      <c r="S229" s="34">
        <v>68</v>
      </c>
    </row>
    <row r="230" spans="1:19" x14ac:dyDescent="0.25">
      <c r="A230" s="6">
        <v>68</v>
      </c>
      <c r="B230" s="7" t="s">
        <v>191</v>
      </c>
      <c r="C230" s="8">
        <v>45398</v>
      </c>
      <c r="D230" s="7">
        <v>1990</v>
      </c>
      <c r="E230" s="42">
        <v>785.52471324999988</v>
      </c>
      <c r="F230" s="10">
        <v>7.5000000000000018</v>
      </c>
      <c r="G230" s="10">
        <v>0.7200000000000002</v>
      </c>
      <c r="H230" s="10">
        <v>43.192508717681129</v>
      </c>
      <c r="I230" s="10">
        <v>58.956499999999991</v>
      </c>
      <c r="J230" s="10">
        <v>87.171000000000006</v>
      </c>
      <c r="K230" s="10">
        <v>54.359852304839144</v>
      </c>
      <c r="L230" s="6" t="s">
        <v>67</v>
      </c>
      <c r="M230" s="6" t="s">
        <v>297</v>
      </c>
      <c r="N230" s="11" t="str">
        <f>VLOOKUP(Séparateur[[#This Row],[Puits]],Puits!$A$1:$F$267,3,FALSE)</f>
        <v>Centre</v>
      </c>
      <c r="O230" s="34">
        <f>(Séparateur[[#This Row],[Qw (sm3/j)]]/(Séparateur[[#This Row],[Qg (Msm3/j)]]*1000))*1000000</f>
        <v>0.91658478448259084</v>
      </c>
      <c r="P230" s="34">
        <f>(Séparateur[[#This Row],[Qc (sm3/j)]]/(Séparateur[[#This Row],[Qg (Msm3/j)]]*1000))*1000000</f>
        <v>9.5477581716936548</v>
      </c>
      <c r="Q230" s="46" t="s">
        <v>348</v>
      </c>
      <c r="R230" s="46">
        <v>0.67</v>
      </c>
      <c r="S230" s="34">
        <v>10</v>
      </c>
    </row>
    <row r="231" spans="1:19" x14ac:dyDescent="0.25">
      <c r="A231" s="6">
        <v>68</v>
      </c>
      <c r="B231" s="7" t="s">
        <v>191</v>
      </c>
      <c r="C231" s="8">
        <v>45398</v>
      </c>
      <c r="D231" s="7">
        <v>1990</v>
      </c>
      <c r="E231" s="42">
        <v>633.61261300000001</v>
      </c>
      <c r="F231" s="10">
        <v>6.080000000000001</v>
      </c>
      <c r="G231" s="10">
        <v>0.64</v>
      </c>
      <c r="H231" s="10">
        <v>50.375555924481759</v>
      </c>
      <c r="I231" s="10">
        <v>61.698333333333331</v>
      </c>
      <c r="J231" s="10">
        <v>88.81</v>
      </c>
      <c r="K231" s="10">
        <v>60.725230134363848</v>
      </c>
      <c r="L231" s="6" t="s">
        <v>68</v>
      </c>
      <c r="M231" s="6" t="s">
        <v>297</v>
      </c>
      <c r="N231" s="11" t="str">
        <f>VLOOKUP(Séparateur[[#This Row],[Puits]],Puits!$A$1:$F$267,3,FALSE)</f>
        <v>Centre</v>
      </c>
      <c r="O231" s="34">
        <f>(Séparateur[[#This Row],[Qw (sm3/j)]]/(Séparateur[[#This Row],[Qg (Msm3/j)]]*1000))*1000000</f>
        <v>1.0100809025403665</v>
      </c>
      <c r="P231" s="34">
        <f>(Séparateur[[#This Row],[Qc (sm3/j)]]/(Séparateur[[#This Row],[Qg (Msm3/j)]]*1000))*1000000</f>
        <v>9.5957685741334835</v>
      </c>
      <c r="Q231" s="46" t="s">
        <v>342</v>
      </c>
      <c r="R231" s="46">
        <v>0.67</v>
      </c>
      <c r="S231" s="34">
        <v>10</v>
      </c>
    </row>
    <row r="232" spans="1:19" x14ac:dyDescent="0.25">
      <c r="A232" s="6">
        <v>68</v>
      </c>
      <c r="B232" s="7" t="s">
        <v>191</v>
      </c>
      <c r="C232" s="8">
        <v>45398</v>
      </c>
      <c r="D232" s="7">
        <v>1990</v>
      </c>
      <c r="E232" s="42">
        <v>449.07795800000002</v>
      </c>
      <c r="F232" s="10">
        <v>4.32</v>
      </c>
      <c r="G232" s="10">
        <v>0.51200000000000001</v>
      </c>
      <c r="H232" s="10">
        <v>57.170787397538575</v>
      </c>
      <c r="I232" s="10">
        <v>60.405333333333324</v>
      </c>
      <c r="J232" s="10">
        <v>90.253</v>
      </c>
      <c r="K232" s="10">
        <v>67.013110891897199</v>
      </c>
      <c r="L232" s="6" t="s">
        <v>68</v>
      </c>
      <c r="M232" s="6" t="s">
        <v>297</v>
      </c>
      <c r="N232" s="11" t="str">
        <f>VLOOKUP(Séparateur[[#This Row],[Puits]],Puits!$A$1:$F$267,3,FALSE)</f>
        <v>Centre</v>
      </c>
      <c r="O232" s="34">
        <f>(Séparateur[[#This Row],[Qw (sm3/j)]]/(Séparateur[[#This Row],[Qg (Msm3/j)]]*1000))*1000000</f>
        <v>1.1401138507893545</v>
      </c>
      <c r="P232" s="34">
        <f>(Séparateur[[#This Row],[Qc (sm3/j)]]/(Séparateur[[#This Row],[Qg (Msm3/j)]]*1000))*1000000</f>
        <v>9.619710616035178</v>
      </c>
      <c r="Q232" s="46" t="s">
        <v>349</v>
      </c>
      <c r="R232" s="46">
        <v>0.67</v>
      </c>
      <c r="S232" s="34">
        <v>10</v>
      </c>
    </row>
    <row r="233" spans="1:19" x14ac:dyDescent="0.25">
      <c r="A233" s="6">
        <v>69</v>
      </c>
      <c r="B233" s="7" t="s">
        <v>117</v>
      </c>
      <c r="C233" s="8">
        <v>45399</v>
      </c>
      <c r="D233" s="7">
        <v>2105</v>
      </c>
      <c r="E233" s="42">
        <v>872.27078100000006</v>
      </c>
      <c r="F233" s="10">
        <v>9.120000000000001</v>
      </c>
      <c r="G233" s="10">
        <v>0.84000000000000019</v>
      </c>
      <c r="H233" s="10">
        <v>41.847858676300902</v>
      </c>
      <c r="I233" s="10">
        <v>60.663499999999985</v>
      </c>
      <c r="J233" s="10">
        <v>87.522999999999996</v>
      </c>
      <c r="K233" s="10">
        <v>54.463825244841779</v>
      </c>
      <c r="L233" s="6" t="s">
        <v>67</v>
      </c>
      <c r="M233" s="6" t="s">
        <v>298</v>
      </c>
      <c r="N233" s="11" t="str">
        <f>VLOOKUP(Séparateur[[#This Row],[Puits]],Puits!$A$1:$F$267,3,FALSE)</f>
        <v>Centre</v>
      </c>
      <c r="O233" s="34">
        <f>(Séparateur[[#This Row],[Qw (sm3/j)]]/(Séparateur[[#This Row],[Qg (Msm3/j)]]*1000))*1000000</f>
        <v>0.9630037120319408</v>
      </c>
      <c r="P233" s="34">
        <f>(Séparateur[[#This Row],[Qc (sm3/j)]]/(Séparateur[[#This Row],[Qg (Msm3/j)]]*1000))*1000000</f>
        <v>10.455468873489643</v>
      </c>
      <c r="Q233" s="46">
        <v>0.75900000000000001</v>
      </c>
      <c r="R233" s="46">
        <v>0.69399999999999995</v>
      </c>
      <c r="S233" s="34">
        <v>6</v>
      </c>
    </row>
    <row r="234" spans="1:19" x14ac:dyDescent="0.25">
      <c r="A234" s="6">
        <v>69</v>
      </c>
      <c r="B234" s="7" t="s">
        <v>117</v>
      </c>
      <c r="C234" s="8">
        <v>45399</v>
      </c>
      <c r="D234" s="7">
        <v>2105</v>
      </c>
      <c r="E234" s="42">
        <v>683.08476466666662</v>
      </c>
      <c r="F234" s="10">
        <v>7.2</v>
      </c>
      <c r="G234" s="10">
        <v>0.56000000000000005</v>
      </c>
      <c r="H234" s="10">
        <v>46.61386827464284</v>
      </c>
      <c r="I234" s="10">
        <v>57.768000000000008</v>
      </c>
      <c r="J234" s="10">
        <v>88.456000000000003</v>
      </c>
      <c r="K234" s="10">
        <v>57.899896490180844</v>
      </c>
      <c r="L234" s="6" t="s">
        <v>68</v>
      </c>
      <c r="M234" s="6" t="s">
        <v>298</v>
      </c>
      <c r="N234" s="11" t="str">
        <f>VLOOKUP(Séparateur[[#This Row],[Puits]],Puits!$A$1:$F$267,3,FALSE)</f>
        <v>Centre</v>
      </c>
      <c r="O234" s="34">
        <f>(Séparateur[[#This Row],[Qw (sm3/j)]]/(Séparateur[[#This Row],[Qg (Msm3/j)]]*1000))*1000000</f>
        <v>0.81981040855635279</v>
      </c>
      <c r="P234" s="34">
        <f>(Séparateur[[#This Row],[Qc (sm3/j)]]/(Séparateur[[#This Row],[Qg (Msm3/j)]]*1000))*1000000</f>
        <v>10.540419538581679</v>
      </c>
      <c r="Q234" s="46">
        <v>0.76</v>
      </c>
      <c r="R234" s="46">
        <v>0.69599999999999995</v>
      </c>
      <c r="S234" s="34">
        <v>6</v>
      </c>
    </row>
    <row r="235" spans="1:19" x14ac:dyDescent="0.25">
      <c r="A235" s="6">
        <v>69</v>
      </c>
      <c r="B235" s="7" t="s">
        <v>117</v>
      </c>
      <c r="C235" s="8">
        <v>45399</v>
      </c>
      <c r="D235" s="7">
        <v>2105</v>
      </c>
      <c r="E235" s="42">
        <v>509.25442399999991</v>
      </c>
      <c r="F235" s="10">
        <v>5.36</v>
      </c>
      <c r="G235" s="10">
        <v>0.44800000000000001</v>
      </c>
      <c r="H235" s="10">
        <v>50.542512472370611</v>
      </c>
      <c r="I235" s="10">
        <v>58.264000000000003</v>
      </c>
      <c r="J235" s="10">
        <v>89.216999999999999</v>
      </c>
      <c r="K235" s="10">
        <v>60.820929365612962</v>
      </c>
      <c r="L235" s="6" t="s">
        <v>68</v>
      </c>
      <c r="M235" s="6" t="s">
        <v>298</v>
      </c>
      <c r="N235" s="11" t="str">
        <f>VLOOKUP(Séparateur[[#This Row],[Puits]],Puits!$A$1:$F$267,3,FALSE)</f>
        <v>Centre</v>
      </c>
      <c r="O235" s="34">
        <f>(Séparateur[[#This Row],[Qw (sm3/j)]]/(Séparateur[[#This Row],[Qg (Msm3/j)]]*1000))*1000000</f>
        <v>0.87971744355430492</v>
      </c>
      <c r="P235" s="34">
        <f>(Séparateur[[#This Row],[Qc (sm3/j)]]/(Séparateur[[#This Row],[Qg (Msm3/j)]]*1000))*1000000</f>
        <v>10.525190842524719</v>
      </c>
      <c r="Q235" s="46">
        <v>0.76200000000000001</v>
      </c>
      <c r="R235" s="46">
        <v>0.69599999999999995</v>
      </c>
      <c r="S235" s="34">
        <v>6</v>
      </c>
    </row>
    <row r="236" spans="1:19" x14ac:dyDescent="0.25">
      <c r="A236" s="6">
        <v>70</v>
      </c>
      <c r="B236" s="7" t="s">
        <v>86</v>
      </c>
      <c r="C236" s="8">
        <v>45400</v>
      </c>
      <c r="D236" s="7">
        <v>2045</v>
      </c>
      <c r="E236" s="42">
        <v>739.85799999999995</v>
      </c>
      <c r="F236" s="10">
        <v>8.64</v>
      </c>
      <c r="G236" s="10">
        <v>0.48</v>
      </c>
      <c r="H236" s="10">
        <v>40.058539881651782</v>
      </c>
      <c r="I236" s="10">
        <v>68.888888888888886</v>
      </c>
      <c r="J236" s="10">
        <v>87.977000000000004</v>
      </c>
      <c r="K236" s="10">
        <v>51.414274093438237</v>
      </c>
      <c r="L236" s="6" t="s">
        <v>67</v>
      </c>
      <c r="M236" s="6" t="s">
        <v>297</v>
      </c>
      <c r="N236" s="11" t="str">
        <f>VLOOKUP(Séparateur[[#This Row],[Puits]],Puits!$A$1:$F$267,3,FALSE)</f>
        <v>Centre</v>
      </c>
      <c r="O236" s="34">
        <f>(Séparateur[[#This Row],[Qw (sm3/j)]]/(Séparateur[[#This Row],[Qg (Msm3/j)]]*1000))*1000000</f>
        <v>0.64877314295445876</v>
      </c>
      <c r="P236" s="34">
        <f>(Séparateur[[#This Row],[Qc (sm3/j)]]/(Séparateur[[#This Row],[Qg (Msm3/j)]]*1000))*1000000</f>
        <v>11.677916573180259</v>
      </c>
      <c r="Q236" s="46">
        <v>0.76</v>
      </c>
      <c r="R236" s="46">
        <v>0.68799999999999994</v>
      </c>
      <c r="S236" s="34">
        <v>14</v>
      </c>
    </row>
    <row r="237" spans="1:19" x14ac:dyDescent="0.25">
      <c r="A237" s="6">
        <v>70</v>
      </c>
      <c r="B237" s="7" t="s">
        <v>86</v>
      </c>
      <c r="C237" s="8">
        <v>45400</v>
      </c>
      <c r="D237" s="7">
        <v>2045</v>
      </c>
      <c r="E237" s="42">
        <v>609.30200000000002</v>
      </c>
      <c r="F237" s="10">
        <v>7.2</v>
      </c>
      <c r="G237" s="10">
        <v>0.38</v>
      </c>
      <c r="H237" s="10">
        <v>44.333289404306534</v>
      </c>
      <c r="I237" s="10">
        <v>70</v>
      </c>
      <c r="J237" s="10">
        <v>89.067999999999998</v>
      </c>
      <c r="K237" s="10">
        <v>55.203219017115153</v>
      </c>
      <c r="L237" s="6" t="s">
        <v>68</v>
      </c>
      <c r="M237" s="6" t="s">
        <v>297</v>
      </c>
      <c r="N237" s="11" t="str">
        <f>VLOOKUP(Séparateur[[#This Row],[Puits]],Puits!$A$1:$F$267,3,FALSE)</f>
        <v>Centre</v>
      </c>
      <c r="O237" s="34">
        <f>(Séparateur[[#This Row],[Qw (sm3/j)]]/(Séparateur[[#This Row],[Qg (Msm3/j)]]*1000))*1000000</f>
        <v>0.62366445539322046</v>
      </c>
      <c r="P237" s="34">
        <f>(Séparateur[[#This Row],[Qc (sm3/j)]]/(Séparateur[[#This Row],[Qg (Msm3/j)]]*1000))*1000000</f>
        <v>11.816800207450493</v>
      </c>
      <c r="Q237" s="46">
        <v>0.76200000000000001</v>
      </c>
      <c r="R237" s="46">
        <v>0.69</v>
      </c>
      <c r="S237" s="34">
        <v>14</v>
      </c>
    </row>
    <row r="238" spans="1:19" x14ac:dyDescent="0.25">
      <c r="A238" s="6">
        <v>70</v>
      </c>
      <c r="B238" s="7" t="s">
        <v>86</v>
      </c>
      <c r="C238" s="8">
        <v>45400</v>
      </c>
      <c r="D238" s="7">
        <v>2045</v>
      </c>
      <c r="E238" s="42">
        <v>501.16800000000001</v>
      </c>
      <c r="F238" s="10">
        <v>6</v>
      </c>
      <c r="G238" s="10">
        <v>0.3</v>
      </c>
      <c r="H238" s="10">
        <v>47.435930186878529</v>
      </c>
      <c r="I238" s="10">
        <v>69.444444444444443</v>
      </c>
      <c r="J238" s="10">
        <v>89.799000000000007</v>
      </c>
      <c r="K238" s="10">
        <v>57.922718136825978</v>
      </c>
      <c r="L238" s="6" t="s">
        <v>68</v>
      </c>
      <c r="M238" s="6" t="s">
        <v>297</v>
      </c>
      <c r="N238" s="11" t="str">
        <f>VLOOKUP(Séparateur[[#This Row],[Puits]],Puits!$A$1:$F$267,3,FALSE)</f>
        <v>Centre</v>
      </c>
      <c r="O238" s="34">
        <f>(Séparateur[[#This Row],[Qw (sm3/j)]]/(Séparateur[[#This Row],[Qg (Msm3/j)]]*1000))*1000000</f>
        <v>0.5986016665070395</v>
      </c>
      <c r="P238" s="34">
        <f>(Séparateur[[#This Row],[Qc (sm3/j)]]/(Séparateur[[#This Row],[Qg (Msm3/j)]]*1000))*1000000</f>
        <v>11.972033330140791</v>
      </c>
      <c r="Q238" s="46">
        <v>0.76400000000000001</v>
      </c>
      <c r="R238" s="46">
        <v>0.69199999999999995</v>
      </c>
      <c r="S238" s="34">
        <v>14</v>
      </c>
    </row>
    <row r="239" spans="1:19" x14ac:dyDescent="0.25">
      <c r="A239" s="6">
        <v>71</v>
      </c>
      <c r="B239" s="7" t="s">
        <v>172</v>
      </c>
      <c r="C239" s="8">
        <v>45401</v>
      </c>
      <c r="D239" s="7">
        <v>2135</v>
      </c>
      <c r="E239" s="42">
        <v>828.05795324999997</v>
      </c>
      <c r="F239" s="10">
        <v>8.1600000000000019</v>
      </c>
      <c r="G239" s="10">
        <v>0.84000000000000019</v>
      </c>
      <c r="H239" s="10">
        <v>42.056304426210033</v>
      </c>
      <c r="I239" s="10">
        <v>54.467249999999993</v>
      </c>
      <c r="J239" s="10">
        <v>88.475999999999999</v>
      </c>
      <c r="K239" s="10">
        <v>54.524843846899024</v>
      </c>
      <c r="L239" s="6" t="s">
        <v>67</v>
      </c>
      <c r="M239" s="6" t="s">
        <v>298</v>
      </c>
      <c r="N239" s="11" t="str">
        <f>VLOOKUP(Séparateur[[#This Row],[Puits]],Puits!$A$1:$F$267,3,FALSE)</f>
        <v>Centre</v>
      </c>
      <c r="O239" s="34">
        <f>(Séparateur[[#This Row],[Qw (sm3/j)]]/(Séparateur[[#This Row],[Qg (Msm3/j)]]*1000))*1000000</f>
        <v>1.0144217523702652</v>
      </c>
      <c r="P239" s="34">
        <f>(Séparateur[[#This Row],[Qc (sm3/j)]]/(Séparateur[[#This Row],[Qg (Msm3/j)]]*1000))*1000000</f>
        <v>9.8543827373111483</v>
      </c>
      <c r="Q239" s="46" t="s">
        <v>336</v>
      </c>
      <c r="R239" s="46">
        <v>0.67</v>
      </c>
      <c r="S239" s="34">
        <v>15</v>
      </c>
    </row>
    <row r="240" spans="1:19" x14ac:dyDescent="0.25">
      <c r="A240" s="6">
        <v>71</v>
      </c>
      <c r="B240" s="7" t="s">
        <v>172</v>
      </c>
      <c r="C240" s="8">
        <v>45401</v>
      </c>
      <c r="D240" s="7">
        <v>2135</v>
      </c>
      <c r="E240" s="42">
        <v>652.21697466666672</v>
      </c>
      <c r="F240" s="10">
        <v>6.4000000000000012</v>
      </c>
      <c r="G240" s="10">
        <v>0.80000000000000016</v>
      </c>
      <c r="H240" s="10">
        <v>47.582949394923808</v>
      </c>
      <c r="I240" s="10">
        <v>60.379666666666672</v>
      </c>
      <c r="J240" s="10">
        <v>89.656999999999996</v>
      </c>
      <c r="K240" s="10">
        <v>58.765119583080754</v>
      </c>
      <c r="L240" s="6" t="s">
        <v>68</v>
      </c>
      <c r="M240" s="6" t="s">
        <v>298</v>
      </c>
      <c r="N240" s="11" t="str">
        <f>VLOOKUP(Séparateur[[#This Row],[Puits]],Puits!$A$1:$F$267,3,FALSE)</f>
        <v>Centre</v>
      </c>
      <c r="O240" s="34">
        <f>(Séparateur[[#This Row],[Qw (sm3/j)]]/(Séparateur[[#This Row],[Qg (Msm3/j)]]*1000))*1000000</f>
        <v>1.226585677885587</v>
      </c>
      <c r="P240" s="34">
        <f>(Séparateur[[#This Row],[Qc (sm3/j)]]/(Séparateur[[#This Row],[Qg (Msm3/j)]]*1000))*1000000</f>
        <v>9.8126854230846963</v>
      </c>
      <c r="Q240" s="46" t="s">
        <v>337</v>
      </c>
      <c r="R240" s="46">
        <v>0.67</v>
      </c>
      <c r="S240" s="34">
        <v>15</v>
      </c>
    </row>
    <row r="241" spans="1:19" x14ac:dyDescent="0.25">
      <c r="A241" s="6">
        <v>71</v>
      </c>
      <c r="B241" s="7" t="s">
        <v>172</v>
      </c>
      <c r="C241" s="8">
        <v>45401</v>
      </c>
      <c r="D241" s="7">
        <v>2135</v>
      </c>
      <c r="E241" s="42">
        <v>486.82462133333337</v>
      </c>
      <c r="F241" s="10">
        <v>4.8</v>
      </c>
      <c r="G241" s="10">
        <v>0.64</v>
      </c>
      <c r="H241" s="10">
        <v>51.520258004318457</v>
      </c>
      <c r="I241" s="10">
        <v>61.758666666666663</v>
      </c>
      <c r="J241" s="10">
        <v>90.475999999999999</v>
      </c>
      <c r="K241" s="10">
        <v>61.806328078157819</v>
      </c>
      <c r="L241" s="6" t="s">
        <v>68</v>
      </c>
      <c r="M241" s="6" t="s">
        <v>298</v>
      </c>
      <c r="N241" s="11" t="str">
        <f>VLOOKUP(Séparateur[[#This Row],[Puits]],Puits!$A$1:$F$267,3,FALSE)</f>
        <v>Centre</v>
      </c>
      <c r="O241" s="34">
        <f>(Séparateur[[#This Row],[Qw (sm3/j)]]/(Séparateur[[#This Row],[Qg (Msm3/j)]]*1000))*1000000</f>
        <v>1.3146418072429127</v>
      </c>
      <c r="P241" s="34">
        <f>(Séparateur[[#This Row],[Qc (sm3/j)]]/(Séparateur[[#This Row],[Qg (Msm3/j)]]*1000))*1000000</f>
        <v>9.8598135543218444</v>
      </c>
      <c r="Q241" s="46" t="s">
        <v>337</v>
      </c>
      <c r="R241" s="46">
        <v>0.67</v>
      </c>
      <c r="S241" s="34">
        <v>15</v>
      </c>
    </row>
    <row r="242" spans="1:19" x14ac:dyDescent="0.25">
      <c r="A242" s="6">
        <v>72</v>
      </c>
      <c r="B242" s="7" t="s">
        <v>77</v>
      </c>
      <c r="C242" s="8">
        <v>45402</v>
      </c>
      <c r="D242" s="7">
        <v>1990</v>
      </c>
      <c r="E242" s="42">
        <v>887.37356024999997</v>
      </c>
      <c r="F242" s="10">
        <v>10.920000000000003</v>
      </c>
      <c r="G242" s="10">
        <v>0.84000000000000019</v>
      </c>
      <c r="H242" s="10">
        <v>41.724140875095848</v>
      </c>
      <c r="I242" s="10">
        <v>47.59725000000001</v>
      </c>
      <c r="J242" s="10">
        <v>86.09</v>
      </c>
      <c r="K242" s="10">
        <v>53.756767884280094</v>
      </c>
      <c r="L242" s="6" t="s">
        <v>67</v>
      </c>
      <c r="M242" s="6" t="s">
        <v>297</v>
      </c>
      <c r="N242" s="11" t="str">
        <f>VLOOKUP(Séparateur[[#This Row],[Puits]],Puits!$A$1:$F$267,3,FALSE)</f>
        <v>Centre</v>
      </c>
      <c r="O242" s="34">
        <f>(Séparateur[[#This Row],[Qw (sm3/j)]]/(Séparateur[[#This Row],[Qg (Msm3/j)]]*1000))*1000000</f>
        <v>0.94661373476503707</v>
      </c>
      <c r="P242" s="34">
        <f>(Séparateur[[#This Row],[Qc (sm3/j)]]/(Séparateur[[#This Row],[Qg (Msm3/j)]]*1000))*1000000</f>
        <v>12.305978551945485</v>
      </c>
      <c r="Q242" s="46">
        <v>0.75900000000000001</v>
      </c>
      <c r="R242" s="46">
        <v>0.69599999999999995</v>
      </c>
      <c r="S242" s="34">
        <v>22</v>
      </c>
    </row>
    <row r="243" spans="1:19" x14ac:dyDescent="0.25">
      <c r="A243" s="6">
        <v>72</v>
      </c>
      <c r="B243" s="7" t="s">
        <v>77</v>
      </c>
      <c r="C243" s="8">
        <v>45402</v>
      </c>
      <c r="D243" s="7">
        <v>1990</v>
      </c>
      <c r="E243" s="42">
        <v>744.33659899999998</v>
      </c>
      <c r="F243" s="10">
        <v>9.2400000000000073</v>
      </c>
      <c r="G243" s="10">
        <v>0.80000000000000016</v>
      </c>
      <c r="H243" s="10">
        <v>46.306948153673524</v>
      </c>
      <c r="I243" s="10">
        <v>50.392000000000003</v>
      </c>
      <c r="J243" s="10">
        <v>87.001000000000005</v>
      </c>
      <c r="K243" s="10">
        <v>57.0666650711279</v>
      </c>
      <c r="L243" s="6" t="s">
        <v>68</v>
      </c>
      <c r="M243" s="6" t="s">
        <v>297</v>
      </c>
      <c r="N243" s="11" t="str">
        <f>VLOOKUP(Séparateur[[#This Row],[Puits]],Puits!$A$1:$F$267,3,FALSE)</f>
        <v>Centre</v>
      </c>
      <c r="O243" s="34">
        <f>(Séparateur[[#This Row],[Qw (sm3/j)]]/(Séparateur[[#This Row],[Qg (Msm3/j)]]*1000))*1000000</f>
        <v>1.0747825662137034</v>
      </c>
      <c r="P243" s="34">
        <f>(Séparateur[[#This Row],[Qc (sm3/j)]]/(Séparateur[[#This Row],[Qg (Msm3/j)]]*1000))*1000000</f>
        <v>12.413738639768281</v>
      </c>
      <c r="Q243" s="46">
        <v>0.76</v>
      </c>
      <c r="R243" s="46">
        <v>0.7</v>
      </c>
      <c r="S243" s="34">
        <v>22</v>
      </c>
    </row>
    <row r="244" spans="1:19" x14ac:dyDescent="0.25">
      <c r="A244" s="6">
        <v>72</v>
      </c>
      <c r="B244" s="7" t="s">
        <v>77</v>
      </c>
      <c r="C244" s="8">
        <v>45402</v>
      </c>
      <c r="D244" s="7">
        <v>1990</v>
      </c>
      <c r="E244" s="42">
        <v>557.69540749999999</v>
      </c>
      <c r="F244" s="10">
        <v>6.9600000000000071</v>
      </c>
      <c r="G244" s="10">
        <v>0.64</v>
      </c>
      <c r="H244" s="10">
        <v>50.435873559547389</v>
      </c>
      <c r="I244" s="10">
        <v>50.167000000000002</v>
      </c>
      <c r="J244" s="10">
        <v>87.822000000000003</v>
      </c>
      <c r="K244" s="10">
        <v>60.276795119922774</v>
      </c>
      <c r="L244" s="6" t="s">
        <v>68</v>
      </c>
      <c r="M244" s="6" t="s">
        <v>297</v>
      </c>
      <c r="N244" s="11" t="str">
        <f>VLOOKUP(Séparateur[[#This Row],[Puits]],Puits!$A$1:$F$267,3,FALSE)</f>
        <v>Centre</v>
      </c>
      <c r="O244" s="34">
        <f>(Séparateur[[#This Row],[Qw (sm3/j)]]/(Séparateur[[#This Row],[Qg (Msm3/j)]]*1000))*1000000</f>
        <v>1.1475798283312924</v>
      </c>
      <c r="P244" s="34">
        <f>(Séparateur[[#This Row],[Qc (sm3/j)]]/(Séparateur[[#This Row],[Qg (Msm3/j)]]*1000))*1000000</f>
        <v>12.479930633102816</v>
      </c>
      <c r="Q244" s="46">
        <v>0.76200000000000001</v>
      </c>
      <c r="R244" s="46">
        <v>0.70199999999999996</v>
      </c>
      <c r="S244" s="34">
        <v>22</v>
      </c>
    </row>
    <row r="245" spans="1:19" x14ac:dyDescent="0.25">
      <c r="A245" s="6">
        <v>73</v>
      </c>
      <c r="B245" s="7" t="s">
        <v>246</v>
      </c>
      <c r="C245" s="8">
        <v>45403</v>
      </c>
      <c r="D245" s="7">
        <v>2100</v>
      </c>
      <c r="E245" s="42">
        <v>980.0002552499999</v>
      </c>
      <c r="F245" s="10">
        <v>3.4800000000000009</v>
      </c>
      <c r="G245" s="10">
        <v>0.78000000000000025</v>
      </c>
      <c r="H245" s="10">
        <v>45.242225258454233</v>
      </c>
      <c r="I245" s="10">
        <v>46.25350000000001</v>
      </c>
      <c r="J245" s="10">
        <v>87.290999999999997</v>
      </c>
      <c r="K245" s="10">
        <v>58.659491901327414</v>
      </c>
      <c r="L245" s="6" t="s">
        <v>67</v>
      </c>
      <c r="M245" s="6" t="s">
        <v>298</v>
      </c>
      <c r="N245" s="11" t="str">
        <f>VLOOKUP(Séparateur[[#This Row],[Puits]],Puits!$A$1:$F$267,3,FALSE)</f>
        <v>Centre</v>
      </c>
      <c r="O245" s="34">
        <f>(Séparateur[[#This Row],[Qw (sm3/j)]]/(Séparateur[[#This Row],[Qg (Msm3/j)]]*1000))*1000000</f>
        <v>0.79591816004274485</v>
      </c>
      <c r="P245" s="34">
        <f>(Séparateur[[#This Row],[Qc (sm3/j)]]/(Séparateur[[#This Row],[Qg (Msm3/j)]]*1000))*1000000</f>
        <v>3.5510194832676305</v>
      </c>
      <c r="Q245" s="46" t="s">
        <v>338</v>
      </c>
      <c r="R245" s="46">
        <v>0.69399999999999995</v>
      </c>
      <c r="S245" s="34">
        <v>10</v>
      </c>
    </row>
    <row r="246" spans="1:19" x14ac:dyDescent="0.25">
      <c r="A246" s="6">
        <v>73</v>
      </c>
      <c r="B246" s="7" t="s">
        <v>246</v>
      </c>
      <c r="C246" s="8">
        <v>45403</v>
      </c>
      <c r="D246" s="7">
        <v>2100</v>
      </c>
      <c r="E246" s="42">
        <v>750.756618</v>
      </c>
      <c r="F246" s="10">
        <v>2.6399999999999992</v>
      </c>
      <c r="G246" s="10">
        <v>0.83999999999999964</v>
      </c>
      <c r="H246" s="10">
        <v>50.12845356867421</v>
      </c>
      <c r="I246" s="10">
        <v>35.671999999999997</v>
      </c>
      <c r="J246" s="10">
        <v>88.100999999999999</v>
      </c>
      <c r="K246" s="10">
        <v>61.561977879637041</v>
      </c>
      <c r="L246" s="6" t="s">
        <v>68</v>
      </c>
      <c r="M246" s="6" t="s">
        <v>298</v>
      </c>
      <c r="N246" s="11" t="str">
        <f>VLOOKUP(Séparateur[[#This Row],[Puits]],Puits!$A$1:$F$267,3,FALSE)</f>
        <v>Centre</v>
      </c>
      <c r="O246" s="34">
        <f>(Séparateur[[#This Row],[Qw (sm3/j)]]/(Séparateur[[#This Row],[Qg (Msm3/j)]]*1000))*1000000</f>
        <v>1.118871255824214</v>
      </c>
      <c r="P246" s="34">
        <f>(Séparateur[[#This Row],[Qc (sm3/j)]]/(Séparateur[[#This Row],[Qg (Msm3/j)]]*1000))*1000000</f>
        <v>3.5164525183046726</v>
      </c>
      <c r="Q246" s="46" t="s">
        <v>339</v>
      </c>
      <c r="R246" s="46">
        <v>0.69799999999999995</v>
      </c>
      <c r="S246" s="34">
        <v>10</v>
      </c>
    </row>
    <row r="247" spans="1:19" x14ac:dyDescent="0.25">
      <c r="A247" s="6">
        <v>73</v>
      </c>
      <c r="B247" s="7" t="s">
        <v>246</v>
      </c>
      <c r="C247" s="8">
        <v>45403</v>
      </c>
      <c r="D247" s="7">
        <v>2100</v>
      </c>
      <c r="E247" s="42">
        <v>561.15394350000008</v>
      </c>
      <c r="F247" s="10">
        <v>1.9920000000000018</v>
      </c>
      <c r="G247" s="10">
        <v>0.48000000000000048</v>
      </c>
      <c r="H247" s="10">
        <v>53.281632922215657</v>
      </c>
      <c r="I247" s="10">
        <v>50.237499999999997</v>
      </c>
      <c r="J247" s="10">
        <v>88.63</v>
      </c>
      <c r="K247" s="10">
        <v>63.55483852806951</v>
      </c>
      <c r="L247" s="6" t="s">
        <v>68</v>
      </c>
      <c r="M247" s="6" t="s">
        <v>298</v>
      </c>
      <c r="N247" s="11" t="str">
        <f>VLOOKUP(Séparateur[[#This Row],[Puits]],Puits!$A$1:$F$267,3,FALSE)</f>
        <v>Centre</v>
      </c>
      <c r="O247" s="34">
        <f>(Séparateur[[#This Row],[Qw (sm3/j)]]/(Séparateur[[#This Row],[Qg (Msm3/j)]]*1000))*1000000</f>
        <v>0.85538024914548327</v>
      </c>
      <c r="P247" s="34">
        <f>(Séparateur[[#This Row],[Qc (sm3/j)]]/(Séparateur[[#This Row],[Qg (Msm3/j)]]*1000))*1000000</f>
        <v>3.5498280339537551</v>
      </c>
      <c r="Q247" s="46" t="s">
        <v>340</v>
      </c>
      <c r="R247" s="46">
        <v>0.70199999999999996</v>
      </c>
      <c r="S247" s="34">
        <v>10</v>
      </c>
    </row>
    <row r="248" spans="1:19" x14ac:dyDescent="0.25">
      <c r="A248" s="6">
        <v>74</v>
      </c>
      <c r="B248" s="7" t="s">
        <v>257</v>
      </c>
      <c r="C248" s="8">
        <v>45404</v>
      </c>
      <c r="D248" s="7">
        <v>2110</v>
      </c>
      <c r="E248" s="42">
        <v>899.74105300000008</v>
      </c>
      <c r="F248" s="10">
        <v>6.8400000000000016</v>
      </c>
      <c r="G248" s="10">
        <v>0.84000000000000019</v>
      </c>
      <c r="H248" s="10">
        <v>43.169764637055557</v>
      </c>
      <c r="I248" s="10">
        <v>61.497499999999995</v>
      </c>
      <c r="J248" s="10">
        <v>85.736999999999995</v>
      </c>
      <c r="K248" s="10">
        <v>56.297210157050046</v>
      </c>
      <c r="L248" s="6" t="s">
        <v>67</v>
      </c>
      <c r="M248" s="6" t="s">
        <v>298</v>
      </c>
      <c r="N248" s="11" t="str">
        <f>VLOOKUP(Séparateur[[#This Row],[Puits]],Puits!$A$1:$F$267,3,FALSE)</f>
        <v>Centre</v>
      </c>
      <c r="O248" s="34">
        <f>(Séparateur[[#This Row],[Qw (sm3/j)]]/(Séparateur[[#This Row],[Qg (Msm3/j)]]*1000))*1000000</f>
        <v>0.93360194824854803</v>
      </c>
      <c r="P248" s="34">
        <f>(Séparateur[[#This Row],[Qc (sm3/j)]]/(Séparateur[[#This Row],[Qg (Msm3/j)]]*1000))*1000000</f>
        <v>7.6021872928810348</v>
      </c>
      <c r="Q248" s="46">
        <v>0.76700000000000002</v>
      </c>
      <c r="R248" s="46"/>
      <c r="S248" s="34"/>
    </row>
    <row r="249" spans="1:19" x14ac:dyDescent="0.25">
      <c r="A249" s="6">
        <v>74</v>
      </c>
      <c r="B249" s="7" t="s">
        <v>257</v>
      </c>
      <c r="C249" s="8">
        <v>45404</v>
      </c>
      <c r="D249" s="7">
        <v>2110</v>
      </c>
      <c r="E249" s="42">
        <v>733.15658200000007</v>
      </c>
      <c r="F249" s="10">
        <v>5.639999999999997</v>
      </c>
      <c r="G249" s="10">
        <v>0.95999999999999963</v>
      </c>
      <c r="H249" s="10">
        <v>47.597112375533136</v>
      </c>
      <c r="I249" s="10">
        <v>64.904000000000011</v>
      </c>
      <c r="J249" s="10">
        <v>86.61</v>
      </c>
      <c r="K249" s="10">
        <v>59.338004966689439</v>
      </c>
      <c r="L249" s="6" t="s">
        <v>68</v>
      </c>
      <c r="M249" s="6" t="s">
        <v>298</v>
      </c>
      <c r="N249" s="11" t="str">
        <f>VLOOKUP(Séparateur[[#This Row],[Puits]],Puits!$A$1:$F$267,3,FALSE)</f>
        <v>Centre</v>
      </c>
      <c r="O249" s="34">
        <f>(Séparateur[[#This Row],[Qw (sm3/j)]]/(Séparateur[[#This Row],[Qg (Msm3/j)]]*1000))*1000000</f>
        <v>1.3094065081993627</v>
      </c>
      <c r="P249" s="34">
        <f>(Séparateur[[#This Row],[Qc (sm3/j)]]/(Séparateur[[#This Row],[Qg (Msm3/j)]]*1000))*1000000</f>
        <v>7.6927632356712534</v>
      </c>
      <c r="Q249" s="46">
        <v>0.76800000000000002</v>
      </c>
      <c r="R249" s="46"/>
      <c r="S249" s="34"/>
    </row>
    <row r="250" spans="1:19" x14ac:dyDescent="0.25">
      <c r="A250" s="6">
        <v>74</v>
      </c>
      <c r="B250" s="7" t="s">
        <v>257</v>
      </c>
      <c r="C250" s="8">
        <v>45404</v>
      </c>
      <c r="D250" s="7">
        <v>2110</v>
      </c>
      <c r="E250" s="42">
        <v>554.60280299999999</v>
      </c>
      <c r="F250" s="10">
        <v>4.3200000000000038</v>
      </c>
      <c r="G250" s="10">
        <v>0.72000000000000064</v>
      </c>
      <c r="H250" s="10">
        <v>51.571078111210781</v>
      </c>
      <c r="I250" s="10">
        <v>66.154000000000011</v>
      </c>
      <c r="J250" s="10">
        <v>87.4</v>
      </c>
      <c r="K250" s="10">
        <v>62.215256133300812</v>
      </c>
      <c r="L250" s="6" t="s">
        <v>68</v>
      </c>
      <c r="M250" s="6" t="s">
        <v>298</v>
      </c>
      <c r="N250" s="11" t="str">
        <f>VLOOKUP(Séparateur[[#This Row],[Puits]],Puits!$A$1:$F$267,3,FALSE)</f>
        <v>Centre</v>
      </c>
      <c r="O250" s="34">
        <f>(Séparateur[[#This Row],[Qw (sm3/j)]]/(Séparateur[[#This Row],[Qg (Msm3/j)]]*1000))*1000000</f>
        <v>1.2982263993353829</v>
      </c>
      <c r="P250" s="34">
        <f>(Séparateur[[#This Row],[Qc (sm3/j)]]/(Séparateur[[#This Row],[Qg (Msm3/j)]]*1000))*1000000</f>
        <v>7.7893583960122976</v>
      </c>
      <c r="Q250" s="46">
        <v>0.77</v>
      </c>
      <c r="R250" s="46"/>
      <c r="S250" s="34"/>
    </row>
    <row r="251" spans="1:19" x14ac:dyDescent="0.25">
      <c r="A251" s="6">
        <v>75</v>
      </c>
      <c r="B251" s="7" t="s">
        <v>290</v>
      </c>
      <c r="C251" s="8">
        <v>45405</v>
      </c>
      <c r="D251" s="7">
        <v>2095</v>
      </c>
      <c r="E251" s="42">
        <v>990.15324800000008</v>
      </c>
      <c r="F251" s="10">
        <v>6.8159999999999981</v>
      </c>
      <c r="G251" s="10">
        <v>0.76799999999999979</v>
      </c>
      <c r="H251" s="10">
        <v>45.044676672449228</v>
      </c>
      <c r="I251" s="10">
        <v>60.94100000000001</v>
      </c>
      <c r="J251" s="10">
        <v>86.424000000000007</v>
      </c>
      <c r="K251" s="10">
        <v>59.462869021294722</v>
      </c>
      <c r="L251" s="6" t="s">
        <v>67</v>
      </c>
      <c r="M251" s="6" t="s">
        <v>298</v>
      </c>
      <c r="N251" s="11" t="str">
        <f>VLOOKUP(Séparateur[[#This Row],[Puits]],Puits!$A$1:$F$267,3,FALSE)</f>
        <v>Centre</v>
      </c>
      <c r="O251" s="34">
        <f>(Séparateur[[#This Row],[Qw (sm3/j)]]/(Séparateur[[#This Row],[Qg (Msm3/j)]]*1000))*1000000</f>
        <v>0.77563751020488469</v>
      </c>
      <c r="P251" s="34">
        <f>(Séparateur[[#This Row],[Qc (sm3/j)]]/(Séparateur[[#This Row],[Qg (Msm3/j)]]*1000))*1000000</f>
        <v>6.8837829030683517</v>
      </c>
      <c r="Q251" s="46">
        <v>0.77200000000000002</v>
      </c>
      <c r="R251" s="46">
        <v>0.71199999999999997</v>
      </c>
      <c r="S251" s="34">
        <v>10</v>
      </c>
    </row>
    <row r="252" spans="1:19" x14ac:dyDescent="0.25">
      <c r="A252" s="6">
        <v>75</v>
      </c>
      <c r="B252" s="7" t="s">
        <v>290</v>
      </c>
      <c r="C252" s="8">
        <v>45405</v>
      </c>
      <c r="D252" s="7">
        <v>2095</v>
      </c>
      <c r="E252" s="42">
        <v>805.72487999999998</v>
      </c>
      <c r="F252" s="10">
        <v>5.5999999999999988</v>
      </c>
      <c r="G252" s="10">
        <v>0.65600000000000003</v>
      </c>
      <c r="H252" s="10">
        <v>49.763048668953424</v>
      </c>
      <c r="I252" s="10">
        <v>52.512000000000008</v>
      </c>
      <c r="J252" s="10">
        <v>87.251999999999995</v>
      </c>
      <c r="K252" s="10">
        <v>62.36004603648751</v>
      </c>
      <c r="L252" s="6" t="s">
        <v>68</v>
      </c>
      <c r="M252" s="6" t="s">
        <v>298</v>
      </c>
      <c r="N252" s="11" t="str">
        <f>VLOOKUP(Séparateur[[#This Row],[Puits]],Puits!$A$1:$F$267,3,FALSE)</f>
        <v>Centre</v>
      </c>
      <c r="O252" s="34">
        <f>(Séparateur[[#This Row],[Qw (sm3/j)]]/(Séparateur[[#This Row],[Qg (Msm3/j)]]*1000))*1000000</f>
        <v>0.81417369164521769</v>
      </c>
      <c r="P252" s="34">
        <f>(Séparateur[[#This Row],[Qc (sm3/j)]]/(Séparateur[[#This Row],[Qg (Msm3/j)]]*1000))*1000000</f>
        <v>6.9502632213616122</v>
      </c>
      <c r="Q252" s="46">
        <v>0.77400000000000002</v>
      </c>
      <c r="R252" s="46">
        <v>0.71399999999999997</v>
      </c>
      <c r="S252" s="34">
        <v>10</v>
      </c>
    </row>
    <row r="253" spans="1:19" x14ac:dyDescent="0.25">
      <c r="A253" s="6">
        <v>75</v>
      </c>
      <c r="B253" s="7" t="s">
        <v>290</v>
      </c>
      <c r="C253" s="8">
        <v>45405</v>
      </c>
      <c r="D253" s="7">
        <v>2095</v>
      </c>
      <c r="E253" s="42">
        <v>603.32505800000001</v>
      </c>
      <c r="F253" s="10">
        <v>4.16</v>
      </c>
      <c r="G253" s="10">
        <v>0.51200000000000001</v>
      </c>
      <c r="H253" s="10">
        <v>53.76000842020855</v>
      </c>
      <c r="I253" s="10">
        <v>51.55766666666667</v>
      </c>
      <c r="J253" s="10">
        <v>87.953000000000003</v>
      </c>
      <c r="K253" s="10">
        <v>64.874081388819121</v>
      </c>
      <c r="L253" s="6" t="s">
        <v>68</v>
      </c>
      <c r="M253" s="6" t="s">
        <v>298</v>
      </c>
      <c r="N253" s="11" t="str">
        <f>VLOOKUP(Séparateur[[#This Row],[Puits]],Puits!$A$1:$F$267,3,FALSE)</f>
        <v>Centre</v>
      </c>
      <c r="O253" s="34">
        <f>(Séparateur[[#This Row],[Qw (sm3/j)]]/(Séparateur[[#This Row],[Qg (Msm3/j)]]*1000))*1000000</f>
        <v>0.84863042436404168</v>
      </c>
      <c r="P253" s="34">
        <f>(Séparateur[[#This Row],[Qc (sm3/j)]]/(Séparateur[[#This Row],[Qg (Msm3/j)]]*1000))*1000000</f>
        <v>6.8951221979578383</v>
      </c>
      <c r="Q253" s="46">
        <v>0.77600000000000002</v>
      </c>
      <c r="R253" s="46">
        <v>0.71599999999999997</v>
      </c>
      <c r="S253" s="34">
        <v>10</v>
      </c>
    </row>
    <row r="254" spans="1:19" x14ac:dyDescent="0.25">
      <c r="A254" s="6">
        <v>76</v>
      </c>
      <c r="B254" s="7" t="s">
        <v>113</v>
      </c>
      <c r="C254" s="8">
        <v>45406</v>
      </c>
      <c r="D254" s="7">
        <v>2110</v>
      </c>
      <c r="E254" s="42">
        <v>1056.6428954</v>
      </c>
      <c r="F254" s="10">
        <v>11.059199999999997</v>
      </c>
      <c r="G254" s="10">
        <v>1.1999999999999997</v>
      </c>
      <c r="H254" s="10">
        <v>45.571339603154875</v>
      </c>
      <c r="I254" s="10">
        <v>57.309000000000012</v>
      </c>
      <c r="J254" s="10">
        <v>89.028999999999996</v>
      </c>
      <c r="K254" s="10">
        <v>60.556860161229608</v>
      </c>
      <c r="L254" s="6" t="s">
        <v>67</v>
      </c>
      <c r="M254" s="6" t="s">
        <v>298</v>
      </c>
      <c r="N254" s="11" t="str">
        <f>VLOOKUP(Séparateur[[#This Row],[Puits]],Puits!$A$1:$F$267,3,FALSE)</f>
        <v>Centre</v>
      </c>
      <c r="O254" s="34">
        <f>(Séparateur[[#This Row],[Qw (sm3/j)]]/(Séparateur[[#This Row],[Qg (Msm3/j)]]*1000))*1000000</f>
        <v>1.1356722363100078</v>
      </c>
      <c r="P254" s="34">
        <f>(Séparateur[[#This Row],[Qc (sm3/j)]]/(Séparateur[[#This Row],[Qg (Msm3/j)]]*1000))*1000000</f>
        <v>10.46635532983303</v>
      </c>
      <c r="Q254" s="46">
        <v>0.76</v>
      </c>
      <c r="R254" s="46">
        <v>0.69599999999999995</v>
      </c>
      <c r="S254" s="34">
        <v>30</v>
      </c>
    </row>
    <row r="255" spans="1:19" x14ac:dyDescent="0.25">
      <c r="A255" s="6">
        <v>76</v>
      </c>
      <c r="B255" s="7" t="s">
        <v>113</v>
      </c>
      <c r="C255" s="8">
        <v>45406</v>
      </c>
      <c r="D255" s="7">
        <v>2110</v>
      </c>
      <c r="E255" s="42">
        <v>854.99905933333332</v>
      </c>
      <c r="F255" s="10">
        <v>8.9920000000000009</v>
      </c>
      <c r="G255" s="10">
        <v>0.91200000000000003</v>
      </c>
      <c r="H255" s="10">
        <v>49.227188132016764</v>
      </c>
      <c r="I255" s="10">
        <v>55.028666666666673</v>
      </c>
      <c r="J255" s="10">
        <v>89.492999999999995</v>
      </c>
      <c r="K255" s="10">
        <v>62.229666176046543</v>
      </c>
      <c r="L255" s="6" t="s">
        <v>68</v>
      </c>
      <c r="M255" s="6" t="s">
        <v>298</v>
      </c>
      <c r="N255" s="11" t="str">
        <f>VLOOKUP(Séparateur[[#This Row],[Puits]],Puits!$A$1:$F$267,3,FALSE)</f>
        <v>Centre</v>
      </c>
      <c r="O255" s="34">
        <f>(Séparateur[[#This Row],[Qw (sm3/j)]]/(Séparateur[[#This Row],[Qg (Msm3/j)]]*1000))*1000000</f>
        <v>1.0666678402092185</v>
      </c>
      <c r="P255" s="34">
        <f>(Séparateur[[#This Row],[Qc (sm3/j)]]/(Séparateur[[#This Row],[Qg (Msm3/j)]]*1000))*1000000</f>
        <v>10.516970635045277</v>
      </c>
      <c r="Q255" s="46">
        <v>0.76200000000000001</v>
      </c>
      <c r="R255" s="46">
        <v>0.7</v>
      </c>
      <c r="S255" s="34">
        <v>30</v>
      </c>
    </row>
    <row r="256" spans="1:19" x14ac:dyDescent="0.25">
      <c r="A256" s="6">
        <v>76</v>
      </c>
      <c r="B256" s="7" t="s">
        <v>113</v>
      </c>
      <c r="C256" s="8">
        <v>45406</v>
      </c>
      <c r="D256" s="7">
        <v>2110</v>
      </c>
      <c r="E256" s="42">
        <v>650.5489530000001</v>
      </c>
      <c r="F256" s="10">
        <v>7.2480000000000002</v>
      </c>
      <c r="G256" s="10">
        <v>0.51200000000000001</v>
      </c>
      <c r="H256" s="10">
        <v>52.162090960873194</v>
      </c>
      <c r="I256" s="10">
        <v>53.685666666666684</v>
      </c>
      <c r="J256" s="10">
        <v>89.882000000000005</v>
      </c>
      <c r="K256" s="10">
        <v>63.676599941892228</v>
      </c>
      <c r="L256" s="6" t="s">
        <v>68</v>
      </c>
      <c r="M256" s="6" t="s">
        <v>298</v>
      </c>
      <c r="N256" s="11" t="str">
        <f>VLOOKUP(Séparateur[[#This Row],[Puits]],Puits!$A$1:$F$267,3,FALSE)</f>
        <v>Centre</v>
      </c>
      <c r="O256" s="34">
        <f>(Séparateur[[#This Row],[Qw (sm3/j)]]/(Séparateur[[#This Row],[Qg (Msm3/j)]]*1000))*1000000</f>
        <v>0.78702762895692491</v>
      </c>
      <c r="P256" s="34">
        <f>(Séparateur[[#This Row],[Qc (sm3/j)]]/(Séparateur[[#This Row],[Qg (Msm3/j)]]*1000))*1000000</f>
        <v>11.141359872421466</v>
      </c>
      <c r="Q256" s="46">
        <v>0.76400000000000001</v>
      </c>
      <c r="R256" s="46">
        <v>0.70199999999999996</v>
      </c>
      <c r="S256" s="34">
        <v>30</v>
      </c>
    </row>
    <row r="257" spans="1:19" x14ac:dyDescent="0.25">
      <c r="A257" s="6">
        <v>77</v>
      </c>
      <c r="B257" s="7" t="s">
        <v>266</v>
      </c>
      <c r="C257" s="8">
        <v>45407</v>
      </c>
      <c r="D257" s="7">
        <v>2105</v>
      </c>
      <c r="E257" s="42">
        <v>1031.1389999999999</v>
      </c>
      <c r="F257" s="10">
        <v>1.68</v>
      </c>
      <c r="G257" s="10">
        <v>0.8</v>
      </c>
      <c r="H257" s="10">
        <v>49.986990385882166</v>
      </c>
      <c r="I257" s="10">
        <v>58.888888888888893</v>
      </c>
      <c r="J257" s="10">
        <v>87.668999999999997</v>
      </c>
      <c r="K257" s="10">
        <v>63.760302295448724</v>
      </c>
      <c r="L257" s="6" t="s">
        <v>67</v>
      </c>
      <c r="M257" s="6" t="s">
        <v>298</v>
      </c>
      <c r="N257" s="11" t="str">
        <f>VLOOKUP(Séparateur[[#This Row],[Puits]],Puits!$A$1:$F$267,3,FALSE)</f>
        <v>Centre</v>
      </c>
      <c r="O257" s="34">
        <f>(Séparateur[[#This Row],[Qw (sm3/j)]]/(Séparateur[[#This Row],[Qg (Msm3/j)]]*1000))*1000000</f>
        <v>0.77584108447066802</v>
      </c>
      <c r="P257" s="34">
        <f>(Séparateur[[#This Row],[Qc (sm3/j)]]/(Séparateur[[#This Row],[Qg (Msm3/j)]]*1000))*1000000</f>
        <v>1.6292662773884028</v>
      </c>
      <c r="Q257" s="46">
        <v>0.79300000000000004</v>
      </c>
      <c r="R257" s="46">
        <v>0.69399999999999995</v>
      </c>
      <c r="S257" s="34">
        <v>10</v>
      </c>
    </row>
    <row r="258" spans="1:19" x14ac:dyDescent="0.25">
      <c r="A258" s="6">
        <v>77</v>
      </c>
      <c r="B258" s="7" t="s">
        <v>266</v>
      </c>
      <c r="C258" s="8">
        <v>45407</v>
      </c>
      <c r="D258" s="7">
        <v>2105</v>
      </c>
      <c r="E258" s="42">
        <v>858.38400000000001</v>
      </c>
      <c r="F258" s="10">
        <v>1.04</v>
      </c>
      <c r="G258" s="10">
        <v>0.75</v>
      </c>
      <c r="H258" s="10">
        <v>52.469103011939765</v>
      </c>
      <c r="I258" s="10">
        <v>57.777777777777779</v>
      </c>
      <c r="J258" s="10">
        <v>87.994</v>
      </c>
      <c r="K258" s="10">
        <v>64.983501187084499</v>
      </c>
      <c r="L258" s="6" t="s">
        <v>68</v>
      </c>
      <c r="M258" s="6" t="s">
        <v>298</v>
      </c>
      <c r="N258" s="11" t="str">
        <f>VLOOKUP(Séparateur[[#This Row],[Puits]],Puits!$A$1:$F$267,3,FALSE)</f>
        <v>Centre</v>
      </c>
      <c r="O258" s="34">
        <f>(Séparateur[[#This Row],[Qw (sm3/j)]]/(Séparateur[[#This Row],[Qg (Msm3/j)]]*1000))*1000000</f>
        <v>0.87373483196331714</v>
      </c>
      <c r="P258" s="34">
        <f>(Séparateur[[#This Row],[Qc (sm3/j)]]/(Séparateur[[#This Row],[Qg (Msm3/j)]]*1000))*1000000</f>
        <v>1.2115789669891333</v>
      </c>
      <c r="Q258" s="46">
        <v>0.79500000000000004</v>
      </c>
      <c r="R258" s="46">
        <v>0.69799999999999995</v>
      </c>
      <c r="S258" s="34">
        <v>10</v>
      </c>
    </row>
    <row r="259" spans="1:19" x14ac:dyDescent="0.25">
      <c r="A259" s="6">
        <v>77</v>
      </c>
      <c r="B259" s="7" t="s">
        <v>266</v>
      </c>
      <c r="C259" s="8">
        <v>45407</v>
      </c>
      <c r="D259" s="7">
        <v>2105</v>
      </c>
      <c r="E259" s="42">
        <v>655.923</v>
      </c>
      <c r="F259" s="10">
        <v>0.64</v>
      </c>
      <c r="G259" s="10">
        <v>0.64</v>
      </c>
      <c r="H259" s="10">
        <v>55.364901075673629</v>
      </c>
      <c r="I259" s="10">
        <v>57.222222222222221</v>
      </c>
      <c r="J259" s="10">
        <v>88.353999999999999</v>
      </c>
      <c r="K259" s="10">
        <v>66.422988615052006</v>
      </c>
      <c r="L259" s="6" t="s">
        <v>68</v>
      </c>
      <c r="M259" s="6" t="s">
        <v>298</v>
      </c>
      <c r="N259" s="11" t="str">
        <f>VLOOKUP(Séparateur[[#This Row],[Puits]],Puits!$A$1:$F$267,3,FALSE)</f>
        <v>Centre</v>
      </c>
      <c r="O259" s="34">
        <f>(Séparateur[[#This Row],[Qw (sm3/j)]]/(Séparateur[[#This Row],[Qg (Msm3/j)]]*1000))*1000000</f>
        <v>0.97572428471024797</v>
      </c>
      <c r="P259" s="34">
        <f>(Séparateur[[#This Row],[Qc (sm3/j)]]/(Séparateur[[#This Row],[Qg (Msm3/j)]]*1000))*1000000</f>
        <v>0.97572428471024797</v>
      </c>
      <c r="Q259" s="46">
        <v>0.79800000000000004</v>
      </c>
      <c r="R259" s="46">
        <v>0.7</v>
      </c>
      <c r="S259" s="34">
        <v>10</v>
      </c>
    </row>
    <row r="260" spans="1:19" x14ac:dyDescent="0.25">
      <c r="A260" s="6">
        <v>78</v>
      </c>
      <c r="B260" s="7" t="s">
        <v>256</v>
      </c>
      <c r="C260" s="8">
        <v>45408</v>
      </c>
      <c r="D260" s="7">
        <v>2115</v>
      </c>
      <c r="E260" s="42">
        <v>903.548</v>
      </c>
      <c r="F260" s="10">
        <v>10.18</v>
      </c>
      <c r="G260" s="10">
        <v>0.67</v>
      </c>
      <c r="H260" s="10">
        <v>42.816442799493551</v>
      </c>
      <c r="I260" s="10">
        <v>60</v>
      </c>
      <c r="J260" s="10">
        <v>87.293999999999997</v>
      </c>
      <c r="K260" s="10">
        <v>55.912000067000491</v>
      </c>
      <c r="L260" s="6" t="s">
        <v>67</v>
      </c>
      <c r="M260" s="6" t="s">
        <v>298</v>
      </c>
      <c r="N260" s="11" t="str">
        <f>VLOOKUP(Séparateur[[#This Row],[Puits]],Puits!$A$1:$F$267,3,FALSE)</f>
        <v>Centre</v>
      </c>
      <c r="O260" s="34">
        <f>(Séparateur[[#This Row],[Qw (sm3/j)]]/(Séparateur[[#This Row],[Qg (Msm3/j)]]*1000))*1000000</f>
        <v>0.74152120307941582</v>
      </c>
      <c r="P260" s="34">
        <f>(Séparateur[[#This Row],[Qc (sm3/j)]]/(Séparateur[[#This Row],[Qg (Msm3/j)]]*1000))*1000000</f>
        <v>11.26669529454993</v>
      </c>
      <c r="Q260" s="46">
        <v>0.753</v>
      </c>
      <c r="R260" s="46">
        <v>0.69199999999999995</v>
      </c>
      <c r="S260" s="34">
        <v>6</v>
      </c>
    </row>
    <row r="261" spans="1:19" x14ac:dyDescent="0.25">
      <c r="A261" s="6">
        <v>78</v>
      </c>
      <c r="B261" s="7" t="s">
        <v>256</v>
      </c>
      <c r="C261" s="8">
        <v>45408</v>
      </c>
      <c r="D261" s="7">
        <v>2115</v>
      </c>
      <c r="E261" s="42">
        <v>761.41099999999994</v>
      </c>
      <c r="F261" s="10">
        <v>9.2799999999999994</v>
      </c>
      <c r="G261" s="10">
        <v>0.64</v>
      </c>
      <c r="H261" s="10">
        <v>46.401716592687862</v>
      </c>
      <c r="I261" s="10">
        <v>61.111111111111114</v>
      </c>
      <c r="J261" s="10">
        <v>87.983999999999995</v>
      </c>
      <c r="K261" s="10">
        <v>58.415900126109037</v>
      </c>
      <c r="L261" s="6" t="s">
        <v>68</v>
      </c>
      <c r="M261" s="6" t="s">
        <v>298</v>
      </c>
      <c r="N261" s="11" t="str">
        <f>VLOOKUP(Séparateur[[#This Row],[Puits]],Puits!$A$1:$F$267,3,FALSE)</f>
        <v>Centre</v>
      </c>
      <c r="O261" s="34">
        <f>(Séparateur[[#This Row],[Qw (sm3/j)]]/(Séparateur[[#This Row],[Qg (Msm3/j)]]*1000))*1000000</f>
        <v>0.84054472551617987</v>
      </c>
      <c r="P261" s="34">
        <f>(Séparateur[[#This Row],[Qc (sm3/j)]]/(Séparateur[[#This Row],[Qg (Msm3/j)]]*1000))*1000000</f>
        <v>12.187898519984607</v>
      </c>
      <c r="Q261" s="46">
        <v>0.755</v>
      </c>
      <c r="R261" s="46">
        <v>0.69399999999999995</v>
      </c>
      <c r="S261" s="34">
        <v>6</v>
      </c>
    </row>
    <row r="262" spans="1:19" x14ac:dyDescent="0.25">
      <c r="A262" s="6">
        <v>78</v>
      </c>
      <c r="B262" s="7" t="s">
        <v>256</v>
      </c>
      <c r="C262" s="8">
        <v>45408</v>
      </c>
      <c r="D262" s="7">
        <v>2115</v>
      </c>
      <c r="E262" s="42">
        <v>575.26300000000003</v>
      </c>
      <c r="F262" s="10">
        <v>7.84</v>
      </c>
      <c r="G262" s="10">
        <v>0.56000000000000005</v>
      </c>
      <c r="H262" s="10">
        <v>50.469623396504481</v>
      </c>
      <c r="I262" s="10">
        <v>59.44444444444445</v>
      </c>
      <c r="J262" s="10">
        <v>88.753</v>
      </c>
      <c r="K262" s="10">
        <v>61.352515153026957</v>
      </c>
      <c r="L262" s="6" t="s">
        <v>68</v>
      </c>
      <c r="M262" s="6" t="s">
        <v>298</v>
      </c>
      <c r="N262" s="11" t="str">
        <f>VLOOKUP(Séparateur[[#This Row],[Puits]],Puits!$A$1:$F$267,3,FALSE)</f>
        <v>Centre</v>
      </c>
      <c r="O262" s="34">
        <f>(Séparateur[[#This Row],[Qw (sm3/j)]]/(Séparateur[[#This Row],[Qg (Msm3/j)]]*1000))*1000000</f>
        <v>0.9734677877770691</v>
      </c>
      <c r="P262" s="34">
        <f>(Séparateur[[#This Row],[Qc (sm3/j)]]/(Séparateur[[#This Row],[Qg (Msm3/j)]]*1000))*1000000</f>
        <v>13.628549028878965</v>
      </c>
      <c r="Q262" s="46">
        <v>0.75600000000000001</v>
      </c>
      <c r="R262" s="46">
        <v>0.69799999999999995</v>
      </c>
      <c r="S262" s="34">
        <v>6</v>
      </c>
    </row>
    <row r="263" spans="1:19" x14ac:dyDescent="0.25">
      <c r="A263" s="6">
        <v>79</v>
      </c>
      <c r="B263" s="7" t="s">
        <v>169</v>
      </c>
      <c r="C263" s="8">
        <v>45409</v>
      </c>
      <c r="D263" s="7">
        <v>1950</v>
      </c>
      <c r="E263" s="42">
        <v>942.79300000000001</v>
      </c>
      <c r="F263" s="10">
        <v>4.0199999999999996</v>
      </c>
      <c r="G263" s="10">
        <v>0.75</v>
      </c>
      <c r="H263" s="10">
        <v>44.264341831360483</v>
      </c>
      <c r="I263" s="10">
        <v>60.555555555555557</v>
      </c>
      <c r="J263" s="10">
        <v>84.494</v>
      </c>
      <c r="K263" s="10">
        <v>57.058046624509643</v>
      </c>
      <c r="L263" s="6" t="s">
        <v>67</v>
      </c>
      <c r="M263" s="6" t="s">
        <v>297</v>
      </c>
      <c r="N263" s="11" t="str">
        <f>VLOOKUP(Séparateur[[#This Row],[Puits]],Puits!$A$1:$F$267,3,FALSE)</f>
        <v>Centre</v>
      </c>
      <c r="O263" s="34">
        <f>(Séparateur[[#This Row],[Qw (sm3/j)]]/(Séparateur[[#This Row],[Qg (Msm3/j)]]*1000))*1000000</f>
        <v>0.79550866415003085</v>
      </c>
      <c r="P263" s="34">
        <f>(Séparateur[[#This Row],[Qc (sm3/j)]]/(Séparateur[[#This Row],[Qg (Msm3/j)]]*1000))*1000000</f>
        <v>4.2639264398441643</v>
      </c>
      <c r="Q263" s="46">
        <v>0.77800000000000002</v>
      </c>
      <c r="R263" s="46">
        <v>0.69199999999999995</v>
      </c>
      <c r="S263" s="34">
        <v>11.7</v>
      </c>
    </row>
    <row r="264" spans="1:19" x14ac:dyDescent="0.25">
      <c r="A264" s="6">
        <v>79</v>
      </c>
      <c r="B264" s="7" t="s">
        <v>169</v>
      </c>
      <c r="C264" s="8">
        <v>45409</v>
      </c>
      <c r="D264" s="7">
        <v>1950</v>
      </c>
      <c r="E264" s="42">
        <v>759.04200000000003</v>
      </c>
      <c r="F264" s="10">
        <v>3.5</v>
      </c>
      <c r="G264" s="10">
        <v>0.66</v>
      </c>
      <c r="H264" s="10">
        <v>48.952776791691505</v>
      </c>
      <c r="I264" s="10">
        <v>62.222222222222229</v>
      </c>
      <c r="J264" s="10">
        <v>85.31</v>
      </c>
      <c r="K264" s="10">
        <v>60.493014708681571</v>
      </c>
      <c r="L264" s="6" t="s">
        <v>68</v>
      </c>
      <c r="M264" s="6" t="s">
        <v>297</v>
      </c>
      <c r="N264" s="11" t="str">
        <f>VLOOKUP(Séparateur[[#This Row],[Puits]],Puits!$A$1:$F$267,3,FALSE)</f>
        <v>Centre</v>
      </c>
      <c r="O264" s="34">
        <f>(Séparateur[[#This Row],[Qw (sm3/j)]]/(Séparateur[[#This Row],[Qg (Msm3/j)]]*1000))*1000000</f>
        <v>0.86951710182045261</v>
      </c>
      <c r="P264" s="34">
        <f>(Séparateur[[#This Row],[Qc (sm3/j)]]/(Séparateur[[#This Row],[Qg (Msm3/j)]]*1000))*1000000</f>
        <v>4.6110755399569454</v>
      </c>
      <c r="Q264" s="46">
        <v>0.78</v>
      </c>
      <c r="R264" s="46">
        <v>0.69399999999999995</v>
      </c>
      <c r="S264" s="34">
        <v>8</v>
      </c>
    </row>
    <row r="265" spans="1:19" x14ac:dyDescent="0.25">
      <c r="A265" s="6">
        <v>79</v>
      </c>
      <c r="B265" s="7" t="s">
        <v>169</v>
      </c>
      <c r="C265" s="8">
        <v>45409</v>
      </c>
      <c r="D265" s="7">
        <v>1950</v>
      </c>
      <c r="E265" s="42">
        <v>570.59</v>
      </c>
      <c r="F265" s="10">
        <v>2.59</v>
      </c>
      <c r="G265" s="10">
        <v>0.46</v>
      </c>
      <c r="H265" s="10">
        <v>52.813840876669985</v>
      </c>
      <c r="I265" s="10">
        <v>61.111111111111114</v>
      </c>
      <c r="J265" s="10">
        <v>85.906000000000006</v>
      </c>
      <c r="K265" s="10">
        <v>63.285460360569317</v>
      </c>
      <c r="L265" s="6" t="s">
        <v>68</v>
      </c>
      <c r="M265" s="6" t="s">
        <v>297</v>
      </c>
      <c r="N265" s="11" t="str">
        <f>VLOOKUP(Séparateur[[#This Row],[Puits]],Puits!$A$1:$F$267,3,FALSE)</f>
        <v>Centre</v>
      </c>
      <c r="O265" s="34">
        <f>(Séparateur[[#This Row],[Qw (sm3/j)]]/(Séparateur[[#This Row],[Qg (Msm3/j)]]*1000))*1000000</f>
        <v>0.80618307366059694</v>
      </c>
      <c r="P265" s="34">
        <f>(Séparateur[[#This Row],[Qc (sm3/j)]]/(Séparateur[[#This Row],[Qg (Msm3/j)]]*1000))*1000000</f>
        <v>4.5391612190890127</v>
      </c>
      <c r="Q265" s="46">
        <v>0.78400000000000003</v>
      </c>
      <c r="R265" s="46">
        <v>0.69799999999999995</v>
      </c>
      <c r="S265" s="34">
        <v>8</v>
      </c>
    </row>
    <row r="266" spans="1:19" x14ac:dyDescent="0.25">
      <c r="A266" s="6">
        <v>80</v>
      </c>
      <c r="B266" s="7" t="s">
        <v>167</v>
      </c>
      <c r="C266" s="8">
        <v>45410</v>
      </c>
      <c r="D266" s="7">
        <v>2110</v>
      </c>
      <c r="E266" s="42">
        <v>975.43299999999999</v>
      </c>
      <c r="F266" s="10">
        <v>14.69</v>
      </c>
      <c r="G266" s="10">
        <v>0.8</v>
      </c>
      <c r="H266" s="10">
        <v>45.919083582065554</v>
      </c>
      <c r="I266" s="10">
        <v>53.888888888888893</v>
      </c>
      <c r="J266" s="10">
        <v>87.15</v>
      </c>
      <c r="K266" s="10">
        <v>60.274657745161448</v>
      </c>
      <c r="L266" s="6" t="s">
        <v>67</v>
      </c>
      <c r="M266" s="6" t="s">
        <v>298</v>
      </c>
      <c r="N266" s="11" t="str">
        <f>VLOOKUP(Séparateur[[#This Row],[Puits]],Puits!$A$1:$F$267,3,FALSE)</f>
        <v>Centre</v>
      </c>
      <c r="O266" s="34">
        <f>(Séparateur[[#This Row],[Qw (sm3/j)]]/(Séparateur[[#This Row],[Qg (Msm3/j)]]*1000))*1000000</f>
        <v>0.82014859042086952</v>
      </c>
      <c r="P266" s="34">
        <f>(Séparateur[[#This Row],[Qc (sm3/j)]]/(Séparateur[[#This Row],[Qg (Msm3/j)]]*1000))*1000000</f>
        <v>15.059978491603216</v>
      </c>
      <c r="Q266" s="46">
        <v>0.75</v>
      </c>
      <c r="R266" s="46">
        <v>0.71399999999999997</v>
      </c>
      <c r="S266" s="34">
        <v>6.96</v>
      </c>
    </row>
    <row r="267" spans="1:19" x14ac:dyDescent="0.25">
      <c r="A267" s="6">
        <v>80</v>
      </c>
      <c r="B267" s="7" t="s">
        <v>167</v>
      </c>
      <c r="C267" s="8">
        <v>45410</v>
      </c>
      <c r="D267" s="7">
        <v>2110</v>
      </c>
      <c r="E267" s="42">
        <v>795.93100000000004</v>
      </c>
      <c r="F267" s="10">
        <v>13.52</v>
      </c>
      <c r="G267" s="10">
        <v>0.66</v>
      </c>
      <c r="H267" s="10">
        <v>49.297514656421725</v>
      </c>
      <c r="I267" s="10">
        <v>58.888888888888893</v>
      </c>
      <c r="J267" s="10">
        <v>87.733000000000004</v>
      </c>
      <c r="K267" s="10">
        <v>62.339706502468424</v>
      </c>
      <c r="L267" s="6" t="s">
        <v>68</v>
      </c>
      <c r="M267" s="6" t="s">
        <v>298</v>
      </c>
      <c r="N267" s="11" t="str">
        <f>VLOOKUP(Séparateur[[#This Row],[Puits]],Puits!$A$1:$F$267,3,FALSE)</f>
        <v>Centre</v>
      </c>
      <c r="O267" s="34">
        <f>(Séparateur[[#This Row],[Qw (sm3/j)]]/(Séparateur[[#This Row],[Qg (Msm3/j)]]*1000))*1000000</f>
        <v>0.82921760805899014</v>
      </c>
      <c r="P267" s="34">
        <f>(Séparateur[[#This Row],[Qc (sm3/j)]]/(Séparateur[[#This Row],[Qg (Msm3/j)]]*1000))*1000000</f>
        <v>16.986397062056884</v>
      </c>
      <c r="Q267" s="46">
        <v>0.752</v>
      </c>
      <c r="R267" s="46">
        <v>0.71599999999999997</v>
      </c>
      <c r="S267" s="34">
        <v>4</v>
      </c>
    </row>
    <row r="268" spans="1:19" x14ac:dyDescent="0.25">
      <c r="A268" s="6">
        <v>80</v>
      </c>
      <c r="B268" s="7" t="s">
        <v>167</v>
      </c>
      <c r="C268" s="8">
        <v>45410</v>
      </c>
      <c r="D268" s="7">
        <v>2110</v>
      </c>
      <c r="E268" s="42">
        <v>603.42399999999998</v>
      </c>
      <c r="F268" s="10">
        <v>10.37</v>
      </c>
      <c r="G268" s="10">
        <v>0.51</v>
      </c>
      <c r="H268" s="10">
        <v>52.606998157831853</v>
      </c>
      <c r="I268" s="10">
        <v>60.555555555555557</v>
      </c>
      <c r="J268" s="10">
        <v>88.302999999999997</v>
      </c>
      <c r="K268" s="10">
        <v>64.492663415281598</v>
      </c>
      <c r="L268" s="6" t="s">
        <v>68</v>
      </c>
      <c r="M268" s="6" t="s">
        <v>298</v>
      </c>
      <c r="N268" s="11" t="str">
        <f>VLOOKUP(Séparateur[[#This Row],[Puits]],Puits!$A$1:$F$267,3,FALSE)</f>
        <v>Centre</v>
      </c>
      <c r="O268" s="34">
        <f>(Séparateur[[#This Row],[Qw (sm3/j)]]/(Séparateur[[#This Row],[Qg (Msm3/j)]]*1000))*1000000</f>
        <v>0.84517685740043491</v>
      </c>
      <c r="P268" s="34">
        <f>(Séparateur[[#This Row],[Qc (sm3/j)]]/(Séparateur[[#This Row],[Qg (Msm3/j)]]*1000))*1000000</f>
        <v>17.185262767142174</v>
      </c>
      <c r="Q268" s="46">
        <v>0.754</v>
      </c>
      <c r="R268" s="46">
        <v>0.72</v>
      </c>
      <c r="S268" s="34">
        <v>4</v>
      </c>
    </row>
    <row r="269" spans="1:19" x14ac:dyDescent="0.25">
      <c r="A269" s="6">
        <v>81</v>
      </c>
      <c r="B269" s="7" t="s">
        <v>269</v>
      </c>
      <c r="C269" s="8">
        <v>45411</v>
      </c>
      <c r="D269" s="7">
        <v>2100</v>
      </c>
      <c r="E269" s="42">
        <v>997.92200000000003</v>
      </c>
      <c r="F269" s="10">
        <v>6.91</v>
      </c>
      <c r="G269" s="10">
        <v>0.69</v>
      </c>
      <c r="H269" s="10">
        <v>45.436450571443238</v>
      </c>
      <c r="I269" s="10">
        <v>58.333333333333336</v>
      </c>
      <c r="J269" s="10">
        <v>88.885000000000005</v>
      </c>
      <c r="K269" s="10">
        <v>59.484104873762107</v>
      </c>
      <c r="L269" s="6" t="s">
        <v>67</v>
      </c>
      <c r="M269" s="6" t="s">
        <v>298</v>
      </c>
      <c r="N269" s="11" t="str">
        <f>VLOOKUP(Séparateur[[#This Row],[Puits]],Puits!$A$1:$F$267,3,FALSE)</f>
        <v>Centre</v>
      </c>
      <c r="O269" s="34">
        <f>(Séparateur[[#This Row],[Qw (sm3/j)]]/(Séparateur[[#This Row],[Qg (Msm3/j)]]*1000))*1000000</f>
        <v>0.69143680568220756</v>
      </c>
      <c r="P269" s="34">
        <f>(Séparateur[[#This Row],[Qc (sm3/j)]]/(Séparateur[[#This Row],[Qg (Msm3/j)]]*1000))*1000000</f>
        <v>6.9243888800928328</v>
      </c>
      <c r="Q269" s="46">
        <v>0.77</v>
      </c>
      <c r="R269" s="46">
        <v>0.68799999999999994</v>
      </c>
      <c r="S269" s="34">
        <v>10</v>
      </c>
    </row>
    <row r="270" spans="1:19" x14ac:dyDescent="0.25">
      <c r="A270" s="6">
        <v>81</v>
      </c>
      <c r="B270" s="7" t="s">
        <v>269</v>
      </c>
      <c r="C270" s="8">
        <v>45411</v>
      </c>
      <c r="D270" s="7">
        <v>2100</v>
      </c>
      <c r="E270" s="42">
        <v>825.6</v>
      </c>
      <c r="F270" s="10">
        <v>6.56</v>
      </c>
      <c r="G270" s="10">
        <v>0.56000000000000005</v>
      </c>
      <c r="H270" s="10">
        <v>48.47014378106919</v>
      </c>
      <c r="I270" s="10">
        <v>66.666666666666671</v>
      </c>
      <c r="J270" s="10">
        <v>89.287000000000006</v>
      </c>
      <c r="K270" s="10">
        <v>60.978888255232341</v>
      </c>
      <c r="L270" s="6" t="s">
        <v>68</v>
      </c>
      <c r="M270" s="6" t="s">
        <v>298</v>
      </c>
      <c r="N270" s="11" t="str">
        <f>VLOOKUP(Séparateur[[#This Row],[Puits]],Puits!$A$1:$F$267,3,FALSE)</f>
        <v>Centre</v>
      </c>
      <c r="O270" s="34">
        <f>(Séparateur[[#This Row],[Qw (sm3/j)]]/(Séparateur[[#This Row],[Qg (Msm3/j)]]*1000))*1000000</f>
        <v>0.67829457364341095</v>
      </c>
      <c r="P270" s="34">
        <f>(Séparateur[[#This Row],[Qc (sm3/j)]]/(Séparateur[[#This Row],[Qg (Msm3/j)]]*1000))*1000000</f>
        <v>7.945736434108527</v>
      </c>
      <c r="Q270" s="46">
        <v>0.77200000000000002</v>
      </c>
      <c r="R270" s="46">
        <v>0.69</v>
      </c>
      <c r="S270" s="34">
        <v>10</v>
      </c>
    </row>
    <row r="271" spans="1:19" x14ac:dyDescent="0.25">
      <c r="A271" s="6">
        <v>81</v>
      </c>
      <c r="B271" s="7" t="s">
        <v>269</v>
      </c>
      <c r="C271" s="8">
        <v>45411</v>
      </c>
      <c r="D271" s="7">
        <v>2100</v>
      </c>
      <c r="E271" s="42">
        <v>630.39599999999996</v>
      </c>
      <c r="F271" s="10">
        <v>5.6</v>
      </c>
      <c r="G271" s="10">
        <v>0.48</v>
      </c>
      <c r="H271" s="10">
        <v>51.29699427185701</v>
      </c>
      <c r="I271" s="10">
        <v>66.111111111111114</v>
      </c>
      <c r="J271" s="10">
        <v>89.665999999999997</v>
      </c>
      <c r="K271" s="10">
        <v>62.459606331821597</v>
      </c>
      <c r="L271" s="6" t="s">
        <v>68</v>
      </c>
      <c r="M271" s="6" t="s">
        <v>298</v>
      </c>
      <c r="N271" s="11" t="str">
        <f>VLOOKUP(Séparateur[[#This Row],[Puits]],Puits!$A$1:$F$267,3,FALSE)</f>
        <v>Centre</v>
      </c>
      <c r="O271" s="34">
        <f>(Séparateur[[#This Row],[Qw (sm3/j)]]/(Séparateur[[#This Row],[Qg (Msm3/j)]]*1000))*1000000</f>
        <v>0.7614261511811623</v>
      </c>
      <c r="P271" s="34">
        <f>(Séparateur[[#This Row],[Qc (sm3/j)]]/(Séparateur[[#This Row],[Qg (Msm3/j)]]*1000))*1000000</f>
        <v>8.8833050971135599</v>
      </c>
      <c r="Q271" s="46">
        <v>0.77400000000000002</v>
      </c>
      <c r="R271" s="46">
        <v>0.69199999999999995</v>
      </c>
      <c r="S271" s="34">
        <v>10</v>
      </c>
    </row>
    <row r="272" spans="1:19" x14ac:dyDescent="0.25">
      <c r="A272" s="6">
        <v>82</v>
      </c>
      <c r="B272" s="7" t="s">
        <v>231</v>
      </c>
      <c r="C272" s="8">
        <v>45413</v>
      </c>
      <c r="D272" s="7">
        <v>2110</v>
      </c>
      <c r="E272" s="42">
        <v>909.06100000000004</v>
      </c>
      <c r="F272" s="10">
        <v>4.99</v>
      </c>
      <c r="G272" s="10">
        <v>0.66</v>
      </c>
      <c r="H272" s="10">
        <v>45.022765133766974</v>
      </c>
      <c r="I272" s="10">
        <v>63.888888888888893</v>
      </c>
      <c r="J272" s="10">
        <v>85.9</v>
      </c>
      <c r="K272" s="10">
        <v>58.501326168989188</v>
      </c>
      <c r="L272" s="6" t="s">
        <v>67</v>
      </c>
      <c r="M272" s="6" t="s">
        <v>298</v>
      </c>
      <c r="N272" s="11" t="str">
        <f>VLOOKUP(Séparateur[[#This Row],[Puits]],Puits!$A$1:$F$267,3,FALSE)</f>
        <v>Centre</v>
      </c>
      <c r="O272" s="34">
        <f>(Séparateur[[#This Row],[Qw (sm3/j)]]/(Séparateur[[#This Row],[Qg (Msm3/j)]]*1000))*1000000</f>
        <v>0.72602388618585556</v>
      </c>
      <c r="P272" s="34">
        <f>(Séparateur[[#This Row],[Qc (sm3/j)]]/(Séparateur[[#This Row],[Qg (Msm3/j)]]*1000))*1000000</f>
        <v>5.4891805940415441</v>
      </c>
      <c r="Q272" s="46">
        <v>0.76900000000000002</v>
      </c>
      <c r="R272" s="46">
        <v>0.7</v>
      </c>
      <c r="S272" s="34">
        <v>0</v>
      </c>
    </row>
    <row r="273" spans="1:19" x14ac:dyDescent="0.25">
      <c r="A273" s="6">
        <v>82</v>
      </c>
      <c r="B273" s="7" t="s">
        <v>231</v>
      </c>
      <c r="C273" s="8">
        <v>45413</v>
      </c>
      <c r="D273" s="7">
        <v>2110</v>
      </c>
      <c r="E273" s="42">
        <v>719.976</v>
      </c>
      <c r="F273" s="10">
        <v>4</v>
      </c>
      <c r="G273" s="10">
        <v>0.59</v>
      </c>
      <c r="H273" s="10">
        <v>49.297514656421725</v>
      </c>
      <c r="I273" s="10">
        <v>66.111111111111114</v>
      </c>
      <c r="J273" s="10">
        <v>86.6</v>
      </c>
      <c r="K273" s="10">
        <v>61.125470795315636</v>
      </c>
      <c r="L273" s="6" t="s">
        <v>68</v>
      </c>
      <c r="M273" s="6" t="s">
        <v>298</v>
      </c>
      <c r="N273" s="11" t="str">
        <f>VLOOKUP(Séparateur[[#This Row],[Puits]],Puits!$A$1:$F$267,3,FALSE)</f>
        <v>Centre</v>
      </c>
      <c r="O273" s="34">
        <f>(Séparateur[[#This Row],[Qw (sm3/j)]]/(Séparateur[[#This Row],[Qg (Msm3/j)]]*1000))*1000000</f>
        <v>0.8194717601697834</v>
      </c>
      <c r="P273" s="34">
        <f>(Séparateur[[#This Row],[Qc (sm3/j)]]/(Séparateur[[#This Row],[Qg (Msm3/j)]]*1000))*1000000</f>
        <v>5.5557407469137861</v>
      </c>
      <c r="Q273" s="46">
        <v>0.77200000000000002</v>
      </c>
      <c r="R273" s="46">
        <v>0.70199999999999996</v>
      </c>
      <c r="S273" s="34">
        <v>0</v>
      </c>
    </row>
    <row r="274" spans="1:19" x14ac:dyDescent="0.25">
      <c r="A274" s="6">
        <v>82</v>
      </c>
      <c r="B274" s="7" t="s">
        <v>231</v>
      </c>
      <c r="C274" s="8">
        <v>45413</v>
      </c>
      <c r="D274" s="7">
        <v>2110</v>
      </c>
      <c r="E274" s="42">
        <v>528.83299999999997</v>
      </c>
      <c r="F274" s="10">
        <v>3.04</v>
      </c>
      <c r="G274" s="10">
        <v>0.43</v>
      </c>
      <c r="H274" s="10">
        <v>53.020683595508125</v>
      </c>
      <c r="I274" s="10">
        <v>64.444444444444443</v>
      </c>
      <c r="J274" s="10">
        <v>87.2</v>
      </c>
      <c r="K274" s="10">
        <v>63.684115227343341</v>
      </c>
      <c r="L274" s="6" t="s">
        <v>68</v>
      </c>
      <c r="M274" s="6" t="s">
        <v>298</v>
      </c>
      <c r="N274" s="11" t="str">
        <f>VLOOKUP(Séparateur[[#This Row],[Puits]],Puits!$A$1:$F$267,3,FALSE)</f>
        <v>Centre</v>
      </c>
      <c r="O274" s="34">
        <f>(Séparateur[[#This Row],[Qw (sm3/j)]]/(Séparateur[[#This Row],[Qg (Msm3/j)]]*1000))*1000000</f>
        <v>0.81311113338237206</v>
      </c>
      <c r="P274" s="34">
        <f>(Séparateur[[#This Row],[Qc (sm3/j)]]/(Séparateur[[#This Row],[Qg (Msm3/j)]]*1000))*1000000</f>
        <v>5.748506617400956</v>
      </c>
      <c r="Q274" s="46">
        <v>774</v>
      </c>
      <c r="R274" s="46">
        <v>0.70399999999999996</v>
      </c>
      <c r="S274" s="34">
        <v>0</v>
      </c>
    </row>
    <row r="275" spans="1:19" x14ac:dyDescent="0.25">
      <c r="A275" s="6">
        <v>83</v>
      </c>
      <c r="B275" s="7" t="s">
        <v>285</v>
      </c>
      <c r="C275" s="8">
        <v>45414</v>
      </c>
      <c r="D275" s="7">
        <v>2110</v>
      </c>
      <c r="E275" s="42">
        <v>950.36599999999999</v>
      </c>
      <c r="F275" s="10">
        <v>5.76</v>
      </c>
      <c r="G275" s="10">
        <v>0.65</v>
      </c>
      <c r="H275" s="10">
        <v>43.230128237169822</v>
      </c>
      <c r="I275" s="10">
        <v>65</v>
      </c>
      <c r="J275" s="10">
        <v>86.561000000000007</v>
      </c>
      <c r="K275" s="10">
        <v>56.844102305658062</v>
      </c>
      <c r="L275" s="6" t="s">
        <v>67</v>
      </c>
      <c r="M275" s="6" t="s">
        <v>298</v>
      </c>
      <c r="N275" s="11" t="str">
        <f>VLOOKUP(Séparateur[[#This Row],[Puits]],Puits!$A$1:$F$267,3,FALSE)</f>
        <v>Centre</v>
      </c>
      <c r="O275" s="34">
        <f>(Séparateur[[#This Row],[Qw (sm3/j)]]/(Séparateur[[#This Row],[Qg (Msm3/j)]]*1000))*1000000</f>
        <v>0.68394702672444097</v>
      </c>
      <c r="P275" s="34">
        <f>(Séparateur[[#This Row],[Qc (sm3/j)]]/(Séparateur[[#This Row],[Qg (Msm3/j)]]*1000))*1000000</f>
        <v>6.0608228829735067</v>
      </c>
      <c r="Q275" s="46">
        <v>0.78</v>
      </c>
      <c r="R275" s="46">
        <v>0.69199999999999995</v>
      </c>
      <c r="S275" s="34">
        <v>2.5</v>
      </c>
    </row>
    <row r="276" spans="1:19" x14ac:dyDescent="0.25">
      <c r="A276" s="6">
        <v>83</v>
      </c>
      <c r="B276" s="7" t="s">
        <v>285</v>
      </c>
      <c r="C276" s="8">
        <v>45414</v>
      </c>
      <c r="D276" s="7">
        <v>2110</v>
      </c>
      <c r="E276" s="42">
        <v>762.53300000000002</v>
      </c>
      <c r="F276" s="10">
        <v>4.6399999999999997</v>
      </c>
      <c r="G276" s="10">
        <v>0.4</v>
      </c>
      <c r="H276" s="10">
        <v>47.298035040986441</v>
      </c>
      <c r="I276" s="10">
        <v>67.777777777777786</v>
      </c>
      <c r="J276" s="10">
        <v>87.228999999999999</v>
      </c>
      <c r="K276" s="10">
        <v>59.509960213616871</v>
      </c>
      <c r="L276" s="6" t="s">
        <v>68</v>
      </c>
      <c r="M276" s="6" t="s">
        <v>298</v>
      </c>
      <c r="N276" s="11" t="str">
        <f>VLOOKUP(Séparateur[[#This Row],[Puits]],Puits!$A$1:$F$267,3,FALSE)</f>
        <v>Centre</v>
      </c>
      <c r="O276" s="34">
        <f>(Séparateur[[#This Row],[Qw (sm3/j)]]/(Séparateur[[#This Row],[Qg (Msm3/j)]]*1000))*1000000</f>
        <v>0.52456746134265664</v>
      </c>
      <c r="P276" s="34">
        <f>(Séparateur[[#This Row],[Qc (sm3/j)]]/(Séparateur[[#This Row],[Qg (Msm3/j)]]*1000))*1000000</f>
        <v>6.084982551574817</v>
      </c>
      <c r="Q276" s="46">
        <v>0.78200000000000003</v>
      </c>
      <c r="R276" s="46">
        <v>0.69599999999999995</v>
      </c>
      <c r="S276" s="34">
        <v>2.5</v>
      </c>
    </row>
    <row r="277" spans="1:19" x14ac:dyDescent="0.25">
      <c r="A277" s="6">
        <v>83</v>
      </c>
      <c r="B277" s="7" t="s">
        <v>285</v>
      </c>
      <c r="C277" s="8">
        <v>45414</v>
      </c>
      <c r="D277" s="7">
        <v>2110</v>
      </c>
      <c r="E277" s="42">
        <v>600.36900000000003</v>
      </c>
      <c r="F277" s="10">
        <v>3.68</v>
      </c>
      <c r="G277" s="10">
        <v>0.32</v>
      </c>
      <c r="H277" s="10">
        <v>50.745413688288657</v>
      </c>
      <c r="I277" s="10">
        <v>66.666666666666671</v>
      </c>
      <c r="J277" s="10">
        <v>87.731999999999999</v>
      </c>
      <c r="K277" s="10">
        <v>61.660572908949888</v>
      </c>
      <c r="L277" s="6" t="s">
        <v>68</v>
      </c>
      <c r="M277" s="6" t="s">
        <v>298</v>
      </c>
      <c r="N277" s="11" t="str">
        <f>VLOOKUP(Séparateur[[#This Row],[Puits]],Puits!$A$1:$F$267,3,FALSE)</f>
        <v>Centre</v>
      </c>
      <c r="O277" s="34">
        <f>(Séparateur[[#This Row],[Qw (sm3/j)]]/(Séparateur[[#This Row],[Qg (Msm3/j)]]*1000))*1000000</f>
        <v>0.53300553492935188</v>
      </c>
      <c r="P277" s="34">
        <f>(Séparateur[[#This Row],[Qc (sm3/j)]]/(Séparateur[[#This Row],[Qg (Msm3/j)]]*1000))*1000000</f>
        <v>6.1295636516875458</v>
      </c>
      <c r="Q277" s="46">
        <v>0.78600000000000003</v>
      </c>
      <c r="R277" s="46">
        <v>0.7</v>
      </c>
      <c r="S277" s="34">
        <v>2.5</v>
      </c>
    </row>
    <row r="278" spans="1:19" x14ac:dyDescent="0.25">
      <c r="A278" s="6">
        <v>84</v>
      </c>
      <c r="B278" s="7" t="s">
        <v>272</v>
      </c>
      <c r="C278" s="8">
        <v>45415</v>
      </c>
      <c r="D278" s="7">
        <v>2125</v>
      </c>
      <c r="E278" s="42">
        <v>925.04</v>
      </c>
      <c r="F278" s="10">
        <v>13.06</v>
      </c>
      <c r="G278" s="10">
        <v>0.71</v>
      </c>
      <c r="H278" s="10">
        <v>46.815402030364126</v>
      </c>
      <c r="I278" s="10">
        <v>57.777777777777779</v>
      </c>
      <c r="J278" s="10">
        <v>87.344999999999999</v>
      </c>
      <c r="K278" s="10">
        <v>60.93655444544347</v>
      </c>
      <c r="L278" s="6" t="s">
        <v>67</v>
      </c>
      <c r="M278" s="6" t="s">
        <v>298</v>
      </c>
      <c r="N278" s="11" t="str">
        <f>VLOOKUP(Séparateur[[#This Row],[Puits]],Puits!$A$1:$F$267,3,FALSE)</f>
        <v>Centre</v>
      </c>
      <c r="O278" s="34">
        <f>(Séparateur[[#This Row],[Qw (sm3/j)]]/(Séparateur[[#This Row],[Qg (Msm3/j)]]*1000))*1000000</f>
        <v>0.76753437689181003</v>
      </c>
      <c r="P278" s="34">
        <f>(Séparateur[[#This Row],[Qc (sm3/j)]]/(Séparateur[[#This Row],[Qg (Msm3/j)]]*1000))*1000000</f>
        <v>14.118308397474705</v>
      </c>
      <c r="Q278" s="46">
        <v>0.75900000000000001</v>
      </c>
      <c r="R278" s="46">
        <v>0.70799999999999996</v>
      </c>
      <c r="S278" s="34">
        <v>5</v>
      </c>
    </row>
    <row r="279" spans="1:19" x14ac:dyDescent="0.25">
      <c r="A279" s="6">
        <v>84</v>
      </c>
      <c r="B279" s="7" t="s">
        <v>272</v>
      </c>
      <c r="C279" s="8">
        <v>45415</v>
      </c>
      <c r="D279" s="7">
        <v>2125</v>
      </c>
      <c r="E279" s="42">
        <v>767.62099999999998</v>
      </c>
      <c r="F279" s="10">
        <v>11.2</v>
      </c>
      <c r="G279" s="10">
        <v>0.57999999999999996</v>
      </c>
      <c r="H279" s="10">
        <v>49.435409802313814</v>
      </c>
      <c r="I279" s="10">
        <v>62.222222222222229</v>
      </c>
      <c r="J279" s="10">
        <v>87.744</v>
      </c>
      <c r="K279" s="10">
        <v>62.485461671676362</v>
      </c>
      <c r="L279" s="6" t="s">
        <v>68</v>
      </c>
      <c r="M279" s="6" t="s">
        <v>298</v>
      </c>
      <c r="N279" s="11" t="str">
        <f>VLOOKUP(Séparateur[[#This Row],[Puits]],Puits!$A$1:$F$267,3,FALSE)</f>
        <v>Centre</v>
      </c>
      <c r="O279" s="34">
        <f>(Séparateur[[#This Row],[Qw (sm3/j)]]/(Séparateur[[#This Row],[Qg (Msm3/j)]]*1000))*1000000</f>
        <v>0.75558120478725832</v>
      </c>
      <c r="P279" s="34">
        <f>(Séparateur[[#This Row],[Qc (sm3/j)]]/(Séparateur[[#This Row],[Qg (Msm3/j)]]*1000))*1000000</f>
        <v>14.590533609684988</v>
      </c>
      <c r="Q279" s="46">
        <v>0.76200000000000001</v>
      </c>
      <c r="R279" s="46">
        <v>0.71199999999999997</v>
      </c>
      <c r="S279" s="34">
        <v>5</v>
      </c>
    </row>
    <row r="280" spans="1:19" x14ac:dyDescent="0.25">
      <c r="A280" s="6">
        <v>84</v>
      </c>
      <c r="B280" s="7" t="s">
        <v>272</v>
      </c>
      <c r="C280" s="8">
        <v>45415</v>
      </c>
      <c r="D280" s="7">
        <v>2125</v>
      </c>
      <c r="E280" s="42">
        <v>608.17499999999995</v>
      </c>
      <c r="F280" s="10">
        <v>8.8800000000000008</v>
      </c>
      <c r="G280" s="10">
        <v>0.43</v>
      </c>
      <c r="H280" s="10">
        <v>52.055417574263501</v>
      </c>
      <c r="I280" s="10">
        <v>61.666666666666671</v>
      </c>
      <c r="J280" s="10">
        <v>88.111000000000004</v>
      </c>
      <c r="K280" s="10">
        <v>64.003963018240043</v>
      </c>
      <c r="L280" s="6" t="s">
        <v>68</v>
      </c>
      <c r="M280" s="6" t="s">
        <v>298</v>
      </c>
      <c r="N280" s="11" t="str">
        <f>VLOOKUP(Séparateur[[#This Row],[Puits]],Puits!$A$1:$F$267,3,FALSE)</f>
        <v>Centre</v>
      </c>
      <c r="O280" s="34">
        <f>(Séparateur[[#This Row],[Qw (sm3/j)]]/(Séparateur[[#This Row],[Qg (Msm3/j)]]*1000))*1000000</f>
        <v>0.70703333744399233</v>
      </c>
      <c r="P280" s="34">
        <f>(Séparateur[[#This Row],[Qc (sm3/j)]]/(Séparateur[[#This Row],[Qg (Msm3/j)]]*1000))*1000000</f>
        <v>14.601060550006167</v>
      </c>
      <c r="Q280" s="46">
        <v>0.76200000000000001</v>
      </c>
      <c r="R280" s="46">
        <v>0.71399999999999997</v>
      </c>
      <c r="S280" s="34">
        <v>5</v>
      </c>
    </row>
    <row r="281" spans="1:19" x14ac:dyDescent="0.25">
      <c r="A281" s="6">
        <v>85</v>
      </c>
      <c r="B281" s="7" t="s">
        <v>242</v>
      </c>
      <c r="C281" s="8">
        <v>45416</v>
      </c>
      <c r="D281" s="7">
        <v>2115</v>
      </c>
      <c r="E281" s="42">
        <v>827.73149039999998</v>
      </c>
      <c r="F281" s="10">
        <v>12.383999999999997</v>
      </c>
      <c r="G281" s="10">
        <v>6.0863999999999994</v>
      </c>
      <c r="H281" s="10">
        <v>42.540528402078067</v>
      </c>
      <c r="I281" s="10">
        <v>63.432399999999994</v>
      </c>
      <c r="J281" s="10">
        <v>86.225999999999999</v>
      </c>
      <c r="K281" s="10">
        <v>59.513338644691231</v>
      </c>
      <c r="L281" s="6" t="s">
        <v>67</v>
      </c>
      <c r="M281" s="6" t="s">
        <v>298</v>
      </c>
      <c r="N281" s="11" t="str">
        <f>VLOOKUP(Séparateur[[#This Row],[Puits]],Puits!$A$1:$F$267,3,FALSE)</f>
        <v>Centre</v>
      </c>
      <c r="O281" s="34">
        <f>(Séparateur[[#This Row],[Qw (sm3/j)]]/(Séparateur[[#This Row],[Qg (Msm3/j)]]*1000))*1000000</f>
        <v>7.3531091550700287</v>
      </c>
      <c r="P281" s="34">
        <f>(Séparateur[[#This Row],[Qc (sm3/j)]]/(Séparateur[[#This Row],[Qg (Msm3/j)]]*1000))*1000000</f>
        <v>14.961373517413778</v>
      </c>
      <c r="Q281" s="46">
        <v>0.75</v>
      </c>
      <c r="R281" s="46">
        <v>0.69</v>
      </c>
      <c r="S281" s="34">
        <v>228</v>
      </c>
    </row>
    <row r="282" spans="1:19" x14ac:dyDescent="0.25">
      <c r="A282" s="6">
        <v>85</v>
      </c>
      <c r="B282" s="7" t="s">
        <v>242</v>
      </c>
      <c r="C282" s="8">
        <v>45416</v>
      </c>
      <c r="D282" s="7">
        <v>2115</v>
      </c>
      <c r="E282" s="42">
        <v>666.65912833333334</v>
      </c>
      <c r="F282" s="10">
        <v>11.343999999999999</v>
      </c>
      <c r="G282" s="10">
        <v>4.1920000000000002</v>
      </c>
      <c r="H282" s="10">
        <v>48.304095042890793</v>
      </c>
      <c r="I282" s="10">
        <v>65.643333333333331</v>
      </c>
      <c r="J282" s="10">
        <v>87.096999999999994</v>
      </c>
      <c r="K282" s="10">
        <v>62.346118626752407</v>
      </c>
      <c r="L282" s="6" t="s">
        <v>68</v>
      </c>
      <c r="M282" s="6" t="s">
        <v>298</v>
      </c>
      <c r="N282" s="11" t="str">
        <f>VLOOKUP(Séparateur[[#This Row],[Puits]],Puits!$A$1:$F$267,3,FALSE)</f>
        <v>Centre</v>
      </c>
      <c r="O282" s="34">
        <f>(Séparateur[[#This Row],[Qw (sm3/j)]]/(Séparateur[[#This Row],[Qg (Msm3/j)]]*1000))*1000000</f>
        <v>6.2880711023639906</v>
      </c>
      <c r="P282" s="34">
        <f>(Séparateur[[#This Row],[Qc (sm3/j)]]/(Séparateur[[#This Row],[Qg (Msm3/j)]]*1000))*1000000</f>
        <v>17.016192410595682</v>
      </c>
      <c r="Q282" s="46">
        <v>0.752</v>
      </c>
      <c r="R282" s="46">
        <v>0.69199999999999995</v>
      </c>
      <c r="S282" s="34">
        <v>228</v>
      </c>
    </row>
    <row r="283" spans="1:19" x14ac:dyDescent="0.25">
      <c r="A283" s="6">
        <v>85</v>
      </c>
      <c r="B283" s="7" t="s">
        <v>242</v>
      </c>
      <c r="C283" s="8">
        <v>45416</v>
      </c>
      <c r="D283" s="7">
        <v>2115</v>
      </c>
      <c r="E283" s="42">
        <v>485.29370633333332</v>
      </c>
      <c r="F283" s="10">
        <v>9.0399999999999991</v>
      </c>
      <c r="G283" s="10">
        <v>2.9599999999999995</v>
      </c>
      <c r="H283" s="10">
        <v>52.983210589611957</v>
      </c>
      <c r="I283" s="10">
        <v>64.042333333333332</v>
      </c>
      <c r="J283" s="10">
        <v>87.897999999999996</v>
      </c>
      <c r="K283" s="10">
        <v>65.061618787232362</v>
      </c>
      <c r="L283" s="6" t="s">
        <v>68</v>
      </c>
      <c r="M283" s="6" t="s">
        <v>298</v>
      </c>
      <c r="N283" s="11" t="str">
        <f>VLOOKUP(Séparateur[[#This Row],[Puits]],Puits!$A$1:$F$267,3,FALSE)</f>
        <v>Centre</v>
      </c>
      <c r="O283" s="34">
        <f>(Séparateur[[#This Row],[Qw (sm3/j)]]/(Séparateur[[#This Row],[Qg (Msm3/j)]]*1000))*1000000</f>
        <v>6.0993991089735395</v>
      </c>
      <c r="P283" s="34">
        <f>(Séparateur[[#This Row],[Qc (sm3/j)]]/(Séparateur[[#This Row],[Qg (Msm3/j)]]*1000))*1000000</f>
        <v>18.627894576054324</v>
      </c>
      <c r="Q283" s="46">
        <v>0.754</v>
      </c>
      <c r="R283" s="46">
        <v>0.69599999999999995</v>
      </c>
      <c r="S283" s="34">
        <v>228</v>
      </c>
    </row>
    <row r="284" spans="1:19" x14ac:dyDescent="0.25">
      <c r="A284" s="6">
        <v>86</v>
      </c>
      <c r="B284" s="7" t="s">
        <v>240</v>
      </c>
      <c r="C284" s="8">
        <v>45417</v>
      </c>
      <c r="D284" s="7">
        <v>2165</v>
      </c>
      <c r="E284" s="42">
        <v>997.95736566666665</v>
      </c>
      <c r="F284" s="10">
        <v>11.28</v>
      </c>
      <c r="G284" s="10">
        <v>0.92800000000000005</v>
      </c>
      <c r="H284" s="10">
        <v>45.054940667808452</v>
      </c>
      <c r="I284" s="10">
        <v>61.944333333333333</v>
      </c>
      <c r="J284" s="10">
        <v>91.42</v>
      </c>
      <c r="K284" s="10">
        <v>59.691774963475588</v>
      </c>
      <c r="L284" s="6" t="s">
        <v>67</v>
      </c>
      <c r="M284" s="6" t="s">
        <v>298</v>
      </c>
      <c r="N284" s="11" t="str">
        <f>VLOOKUP(Séparateur[[#This Row],[Puits]],Puits!$A$1:$F$267,3,FALSE)</f>
        <v>Centre</v>
      </c>
      <c r="O284" s="34">
        <f>(Séparateur[[#This Row],[Qw (sm3/j)]]/(Séparateur[[#This Row],[Qg (Msm3/j)]]*1000))*1000000</f>
        <v>0.92989944453194862</v>
      </c>
      <c r="P284" s="34">
        <f>(Séparateur[[#This Row],[Qc (sm3/j)]]/(Séparateur[[#This Row],[Qg (Msm3/j)]]*1000))*1000000</f>
        <v>11.303088075776271</v>
      </c>
      <c r="Q284" s="46">
        <v>0.75600000000000001</v>
      </c>
      <c r="R284" s="46">
        <v>0.68799999999999994</v>
      </c>
      <c r="S284" s="34">
        <v>27</v>
      </c>
    </row>
    <row r="285" spans="1:19" x14ac:dyDescent="0.25">
      <c r="A285" s="6">
        <v>86</v>
      </c>
      <c r="B285" s="7" t="s">
        <v>240</v>
      </c>
      <c r="C285" s="8">
        <v>45417</v>
      </c>
      <c r="D285" s="7">
        <v>2165</v>
      </c>
      <c r="E285" s="42">
        <v>756.55578799999989</v>
      </c>
      <c r="F285" s="10">
        <v>9.4800000000000075</v>
      </c>
      <c r="G285" s="10">
        <v>0.81600000000000072</v>
      </c>
      <c r="H285" s="10">
        <v>48.590353874500622</v>
      </c>
      <c r="I285" s="10">
        <v>63.510500000000008</v>
      </c>
      <c r="J285" s="10">
        <v>91.774000000000001</v>
      </c>
      <c r="K285" s="10">
        <v>61.120644465209416</v>
      </c>
      <c r="L285" s="6" t="s">
        <v>68</v>
      </c>
      <c r="M285" s="6" t="s">
        <v>298</v>
      </c>
      <c r="N285" s="11" t="str">
        <f>VLOOKUP(Séparateur[[#This Row],[Puits]],Puits!$A$1:$F$267,3,FALSE)</f>
        <v>Centre</v>
      </c>
      <c r="O285" s="34">
        <f>(Séparateur[[#This Row],[Qw (sm3/j)]]/(Séparateur[[#This Row],[Qg (Msm3/j)]]*1000))*1000000</f>
        <v>1.0785721462222173</v>
      </c>
      <c r="P285" s="34">
        <f>(Séparateur[[#This Row],[Qc (sm3/j)]]/(Séparateur[[#This Row],[Qg (Msm3/j)]]*1000))*1000000</f>
        <v>12.530470522287523</v>
      </c>
      <c r="Q285" s="46">
        <v>0.75800000000000001</v>
      </c>
      <c r="R285" s="46">
        <v>0.69199999999999995</v>
      </c>
      <c r="S285" s="34">
        <v>27</v>
      </c>
    </row>
    <row r="286" spans="1:19" x14ac:dyDescent="0.25">
      <c r="A286" s="6">
        <v>86</v>
      </c>
      <c r="B286" s="7" t="s">
        <v>240</v>
      </c>
      <c r="C286" s="8">
        <v>45417</v>
      </c>
      <c r="D286" s="7">
        <v>2165</v>
      </c>
      <c r="E286" s="42">
        <v>501.12010950000001</v>
      </c>
      <c r="F286" s="10">
        <v>6.4800000000000058</v>
      </c>
      <c r="G286" s="10">
        <v>0.64800000000000058</v>
      </c>
      <c r="H286" s="10">
        <v>51.711041684291239</v>
      </c>
      <c r="I286" s="10">
        <v>63.321500000000007</v>
      </c>
      <c r="J286" s="10">
        <v>92.08</v>
      </c>
      <c r="K286" s="10">
        <v>62.548479753349042</v>
      </c>
      <c r="L286" s="6" t="s">
        <v>68</v>
      </c>
      <c r="M286" s="6" t="s">
        <v>298</v>
      </c>
      <c r="N286" s="11" t="str">
        <f>VLOOKUP(Séparateur[[#This Row],[Puits]],Puits!$A$1:$F$267,3,FALSE)</f>
        <v>Centre</v>
      </c>
      <c r="O286" s="34">
        <f>(Séparateur[[#This Row],[Qw (sm3/j)]]/(Séparateur[[#This Row],[Qg (Msm3/j)]]*1000))*1000000</f>
        <v>1.2931031657191967</v>
      </c>
      <c r="P286" s="34">
        <f>(Séparateur[[#This Row],[Qc (sm3/j)]]/(Séparateur[[#This Row],[Qg (Msm3/j)]]*1000))*1000000</f>
        <v>12.931031657191967</v>
      </c>
      <c r="Q286" s="46">
        <v>0.76100000000000001</v>
      </c>
      <c r="R286" s="46">
        <v>0.69399999999999995</v>
      </c>
      <c r="S286" s="34">
        <v>27</v>
      </c>
    </row>
    <row r="287" spans="1:19" x14ac:dyDescent="0.25">
      <c r="A287" s="6">
        <v>87</v>
      </c>
      <c r="B287" s="7" t="s">
        <v>222</v>
      </c>
      <c r="C287" s="8">
        <v>45418</v>
      </c>
      <c r="D287" s="7">
        <v>2095</v>
      </c>
      <c r="E287" s="42">
        <v>1038.1005709999999</v>
      </c>
      <c r="F287" s="10">
        <v>3.4200000000000008</v>
      </c>
      <c r="G287" s="10">
        <v>0.8520000000000002</v>
      </c>
      <c r="H287" s="10">
        <v>45.129754530085997</v>
      </c>
      <c r="I287" s="10">
        <v>60.471750000000007</v>
      </c>
      <c r="J287" s="10">
        <v>86.617999999999995</v>
      </c>
      <c r="K287" s="10">
        <v>59.432945774636138</v>
      </c>
      <c r="L287" s="6" t="s">
        <v>67</v>
      </c>
      <c r="M287" s="6" t="s">
        <v>298</v>
      </c>
      <c r="N287" s="11" t="str">
        <f>VLOOKUP(Séparateur[[#This Row],[Puits]],Puits!$A$1:$F$267,3,FALSE)</f>
        <v>Centre</v>
      </c>
      <c r="O287" s="34">
        <f>(Séparateur[[#This Row],[Qw (sm3/j)]]/(Séparateur[[#This Row],[Qg (Msm3/j)]]*1000))*1000000</f>
        <v>0.82072972869986038</v>
      </c>
      <c r="P287" s="34">
        <f>(Séparateur[[#This Row],[Qc (sm3/j)]]/(Séparateur[[#This Row],[Qg (Msm3/j)]]*1000))*1000000</f>
        <v>3.2944784884431018</v>
      </c>
      <c r="Q287" s="46">
        <v>0.78800000000000003</v>
      </c>
      <c r="R287" s="46">
        <v>0.69399999999999995</v>
      </c>
      <c r="S287" s="34">
        <v>4</v>
      </c>
    </row>
    <row r="288" spans="1:19" x14ac:dyDescent="0.25">
      <c r="A288" s="6">
        <v>87</v>
      </c>
      <c r="B288" s="7" t="s">
        <v>222</v>
      </c>
      <c r="C288" s="8">
        <v>45418</v>
      </c>
      <c r="D288" s="7">
        <v>2095</v>
      </c>
      <c r="E288" s="42">
        <v>786.2146776666666</v>
      </c>
      <c r="F288" s="10">
        <v>2.7200000000000024</v>
      </c>
      <c r="G288" s="10">
        <v>0.75200000000000067</v>
      </c>
      <c r="H288" s="10">
        <v>50.021981279152293</v>
      </c>
      <c r="I288" s="10">
        <v>63.995666666666679</v>
      </c>
      <c r="J288" s="10">
        <v>87.308999999999997</v>
      </c>
      <c r="K288" s="10">
        <v>62.030821375670151</v>
      </c>
      <c r="L288" s="6" t="s">
        <v>68</v>
      </c>
      <c r="M288" s="6" t="s">
        <v>298</v>
      </c>
      <c r="N288" s="11" t="str">
        <f>VLOOKUP(Séparateur[[#This Row],[Puits]],Puits!$A$1:$F$267,3,FALSE)</f>
        <v>Centre</v>
      </c>
      <c r="O288" s="34">
        <f>(Séparateur[[#This Row],[Qw (sm3/j)]]/(Séparateur[[#This Row],[Qg (Msm3/j)]]*1000))*1000000</f>
        <v>0.95648176173941646</v>
      </c>
      <c r="P288" s="34">
        <f>(Séparateur[[#This Row],[Qc (sm3/j)]]/(Séparateur[[#This Row],[Qg (Msm3/j)]]*1000))*1000000</f>
        <v>3.4596148828872506</v>
      </c>
      <c r="Q288" s="46">
        <v>0.79</v>
      </c>
      <c r="R288" s="46">
        <v>0.69799999999999995</v>
      </c>
      <c r="S288" s="34">
        <v>4</v>
      </c>
    </row>
    <row r="289" spans="1:19" x14ac:dyDescent="0.25">
      <c r="A289" s="6">
        <v>87</v>
      </c>
      <c r="B289" s="7" t="s">
        <v>222</v>
      </c>
      <c r="C289" s="8">
        <v>45418</v>
      </c>
      <c r="D289" s="7">
        <v>2095</v>
      </c>
      <c r="E289" s="42">
        <v>526.23964066666656</v>
      </c>
      <c r="F289" s="10">
        <v>2.2240000000000002</v>
      </c>
      <c r="G289" s="10">
        <v>0.624</v>
      </c>
      <c r="H289" s="10">
        <v>53.850984742710864</v>
      </c>
      <c r="I289" s="10">
        <v>64.077333333333357</v>
      </c>
      <c r="J289" s="10">
        <v>87.864999999999995</v>
      </c>
      <c r="K289" s="10">
        <v>64.257069558524975</v>
      </c>
      <c r="L289" s="6" t="s">
        <v>68</v>
      </c>
      <c r="M289" s="6" t="s">
        <v>298</v>
      </c>
      <c r="N289" s="11" t="str">
        <f>VLOOKUP(Séparateur[[#This Row],[Puits]],Puits!$A$1:$F$267,3,FALSE)</f>
        <v>Centre</v>
      </c>
      <c r="O289" s="34">
        <f>(Séparateur[[#This Row],[Qw (sm3/j)]]/(Séparateur[[#This Row],[Qg (Msm3/j)]]*1000))*1000000</f>
        <v>1.185771560670507</v>
      </c>
      <c r="P289" s="34">
        <f>(Séparateur[[#This Row],[Qc (sm3/j)]]/(Séparateur[[#This Row],[Qg (Msm3/j)]]*1000))*1000000</f>
        <v>4.2262114598256533</v>
      </c>
      <c r="Q289" s="46">
        <v>0.79</v>
      </c>
      <c r="R289" s="46">
        <v>0.7</v>
      </c>
      <c r="S289" s="34">
        <v>4</v>
      </c>
    </row>
    <row r="290" spans="1:19" x14ac:dyDescent="0.25">
      <c r="A290" s="6">
        <v>88</v>
      </c>
      <c r="B290" s="7" t="s">
        <v>137</v>
      </c>
      <c r="C290" s="8">
        <v>45419</v>
      </c>
      <c r="D290" s="7">
        <v>2075</v>
      </c>
      <c r="E290" s="42">
        <v>1050.893</v>
      </c>
      <c r="F290" s="10">
        <v>8.06</v>
      </c>
      <c r="G290" s="10">
        <v>0.72</v>
      </c>
      <c r="H290" s="10">
        <v>45.712240863227414</v>
      </c>
      <c r="I290" s="10">
        <v>63.333333333333336</v>
      </c>
      <c r="J290" s="10">
        <v>88.033000000000001</v>
      </c>
      <c r="K290" s="10">
        <v>60.684068433315062</v>
      </c>
      <c r="L290" s="6" t="s">
        <v>67</v>
      </c>
      <c r="M290" s="6" t="s">
        <v>298</v>
      </c>
      <c r="N290" s="11" t="str">
        <f>VLOOKUP(Séparateur[[#This Row],[Puits]],Puits!$A$1:$F$267,3,FALSE)</f>
        <v>Centre</v>
      </c>
      <c r="O290" s="34">
        <f>(Séparateur[[#This Row],[Qw (sm3/j)]]/(Séparateur[[#This Row],[Qg (Msm3/j)]]*1000))*1000000</f>
        <v>0.68513159760318121</v>
      </c>
      <c r="P290" s="34">
        <f>(Séparateur[[#This Row],[Qc (sm3/j)]]/(Séparateur[[#This Row],[Qg (Msm3/j)]]*1000))*1000000</f>
        <v>7.6696676065022809</v>
      </c>
      <c r="Q290" s="46">
        <v>0.77400000000000002</v>
      </c>
      <c r="R290" s="46">
        <v>0.69599999999999995</v>
      </c>
      <c r="S290" s="34">
        <v>4</v>
      </c>
    </row>
    <row r="291" spans="1:19" x14ac:dyDescent="0.25">
      <c r="A291" s="6">
        <v>88</v>
      </c>
      <c r="B291" s="7" t="s">
        <v>137</v>
      </c>
      <c r="C291" s="8">
        <v>45419</v>
      </c>
      <c r="D291" s="7">
        <v>2075</v>
      </c>
      <c r="E291" s="42">
        <v>778.63599999999997</v>
      </c>
      <c r="F291" s="10">
        <v>6.32</v>
      </c>
      <c r="G291" s="10">
        <v>0.67</v>
      </c>
      <c r="H291" s="10">
        <v>49.986990385882166</v>
      </c>
      <c r="I291" s="10">
        <v>65.555555555555557</v>
      </c>
      <c r="J291" s="10">
        <v>88.486999999999995</v>
      </c>
      <c r="K291" s="10">
        <v>62.403276164724673</v>
      </c>
      <c r="L291" s="6" t="s">
        <v>68</v>
      </c>
      <c r="M291" s="6" t="s">
        <v>298</v>
      </c>
      <c r="N291" s="11" t="str">
        <f>VLOOKUP(Séparateur[[#This Row],[Puits]],Puits!$A$1:$F$267,3,FALSE)</f>
        <v>Centre</v>
      </c>
      <c r="O291" s="34">
        <f>(Séparateur[[#This Row],[Qw (sm3/j)]]/(Séparateur[[#This Row],[Qg (Msm3/j)]]*1000))*1000000</f>
        <v>0.86047909421090218</v>
      </c>
      <c r="P291" s="34">
        <f>(Séparateur[[#This Row],[Qc (sm3/j)]]/(Séparateur[[#This Row],[Qg (Msm3/j)]]*1000))*1000000</f>
        <v>8.1167580230043299</v>
      </c>
      <c r="Q291" s="46">
        <v>0.77600000000000002</v>
      </c>
      <c r="R291" s="46">
        <v>0.7</v>
      </c>
      <c r="S291" s="34">
        <v>4</v>
      </c>
    </row>
    <row r="292" spans="1:19" x14ac:dyDescent="0.25">
      <c r="A292" s="6">
        <v>88</v>
      </c>
      <c r="B292" s="7" t="s">
        <v>137</v>
      </c>
      <c r="C292" s="8">
        <v>45419</v>
      </c>
      <c r="D292" s="7">
        <v>2075</v>
      </c>
      <c r="E292" s="42">
        <v>529.75199999999995</v>
      </c>
      <c r="F292" s="10">
        <v>5.04</v>
      </c>
      <c r="G292" s="10">
        <v>0.56000000000000005</v>
      </c>
      <c r="H292" s="10">
        <v>52.951736022562073</v>
      </c>
      <c r="I292" s="10">
        <v>65.555555555555557</v>
      </c>
      <c r="J292" s="10">
        <v>88.82</v>
      </c>
      <c r="K292" s="10">
        <v>63.739824866283747</v>
      </c>
      <c r="L292" s="6" t="s">
        <v>68</v>
      </c>
      <c r="M292" s="6" t="s">
        <v>298</v>
      </c>
      <c r="N292" s="11" t="str">
        <f>VLOOKUP(Séparateur[[#This Row],[Puits]],Puits!$A$1:$F$267,3,FALSE)</f>
        <v>Centre</v>
      </c>
      <c r="O292" s="34">
        <f>(Séparateur[[#This Row],[Qw (sm3/j)]]/(Séparateur[[#This Row],[Qg (Msm3/j)]]*1000))*1000000</f>
        <v>1.057098415862517</v>
      </c>
      <c r="P292" s="34">
        <f>(Séparateur[[#This Row],[Qc (sm3/j)]]/(Séparateur[[#This Row],[Qg (Msm3/j)]]*1000))*1000000</f>
        <v>9.5138857427626498</v>
      </c>
      <c r="Q292" s="46">
        <v>0.77900000000000003</v>
      </c>
      <c r="R292" s="46">
        <v>0.70199999999999996</v>
      </c>
      <c r="S292" s="34">
        <v>4</v>
      </c>
    </row>
    <row r="293" spans="1:19" x14ac:dyDescent="0.25">
      <c r="A293" s="6">
        <v>89</v>
      </c>
      <c r="B293" s="7" t="s">
        <v>128</v>
      </c>
      <c r="C293" s="8">
        <v>45420</v>
      </c>
      <c r="D293" s="7">
        <v>2105</v>
      </c>
      <c r="E293" s="42">
        <v>920.03599999999994</v>
      </c>
      <c r="F293" s="10">
        <v>8</v>
      </c>
      <c r="G293" s="10">
        <v>0.83</v>
      </c>
      <c r="H293" s="10">
        <v>45.29855542555115</v>
      </c>
      <c r="I293" s="10">
        <v>63.333333333333336</v>
      </c>
      <c r="J293" s="10">
        <v>87.53</v>
      </c>
      <c r="K293" s="10">
        <v>58.435205446533928</v>
      </c>
      <c r="L293" s="6" t="s">
        <v>67</v>
      </c>
      <c r="M293" s="6" t="s">
        <v>298</v>
      </c>
      <c r="N293" s="11" t="str">
        <f>VLOOKUP(Séparateur[[#This Row],[Puits]],Puits!$A$1:$F$267,3,FALSE)</f>
        <v>Centre</v>
      </c>
      <c r="O293" s="34">
        <f>(Séparateur[[#This Row],[Qw (sm3/j)]]/(Séparateur[[#This Row],[Qg (Msm3/j)]]*1000))*1000000</f>
        <v>0.90213861196735778</v>
      </c>
      <c r="P293" s="34">
        <f>(Séparateur[[#This Row],[Qc (sm3/j)]]/(Séparateur[[#This Row],[Qg (Msm3/j)]]*1000))*1000000</f>
        <v>8.6953119225769431</v>
      </c>
      <c r="Q293" s="46">
        <v>0.75600000000000001</v>
      </c>
      <c r="R293" s="46">
        <v>0.68600000000000005</v>
      </c>
      <c r="S293" s="34">
        <v>8</v>
      </c>
    </row>
    <row r="294" spans="1:19" x14ac:dyDescent="0.25">
      <c r="A294" s="6">
        <v>89</v>
      </c>
      <c r="B294" s="7" t="s">
        <v>128</v>
      </c>
      <c r="C294" s="8">
        <v>45420</v>
      </c>
      <c r="D294" s="7">
        <v>2105</v>
      </c>
      <c r="E294" s="42">
        <v>686.93100000000004</v>
      </c>
      <c r="F294" s="10">
        <v>6.19</v>
      </c>
      <c r="G294" s="10">
        <v>0.75</v>
      </c>
      <c r="H294" s="10">
        <v>49.780147667044034</v>
      </c>
      <c r="I294" s="10">
        <v>64.444444444444443</v>
      </c>
      <c r="J294" s="10">
        <v>88.295000000000002</v>
      </c>
      <c r="K294" s="10">
        <v>61.309216077216846</v>
      </c>
      <c r="L294" s="6" t="s">
        <v>68</v>
      </c>
      <c r="M294" s="6" t="s">
        <v>298</v>
      </c>
      <c r="N294" s="11" t="str">
        <f>VLOOKUP(Séparateur[[#This Row],[Puits]],Puits!$A$1:$F$267,3,FALSE)</f>
        <v>Centre</v>
      </c>
      <c r="O294" s="34">
        <f>(Séparateur[[#This Row],[Qw (sm3/j)]]/(Séparateur[[#This Row],[Qg (Msm3/j)]]*1000))*1000000</f>
        <v>1.0918127148141517</v>
      </c>
      <c r="P294" s="34">
        <f>(Séparateur[[#This Row],[Qc (sm3/j)]]/(Séparateur[[#This Row],[Qg (Msm3/j)]]*1000))*1000000</f>
        <v>9.0110942729327981</v>
      </c>
      <c r="Q294" s="46">
        <v>0.76</v>
      </c>
      <c r="R294" s="46">
        <v>0.68799999999999994</v>
      </c>
      <c r="S294" s="34">
        <v>8</v>
      </c>
    </row>
    <row r="295" spans="1:19" x14ac:dyDescent="0.25">
      <c r="A295" s="6">
        <v>89</v>
      </c>
      <c r="B295" s="7" t="s">
        <v>128</v>
      </c>
      <c r="C295" s="8">
        <v>45420</v>
      </c>
      <c r="D295" s="7">
        <v>2105</v>
      </c>
      <c r="E295" s="42">
        <v>476.262</v>
      </c>
      <c r="F295" s="10">
        <v>4.3</v>
      </c>
      <c r="G295" s="10">
        <v>0.59</v>
      </c>
      <c r="H295" s="10">
        <v>52.951736022562073</v>
      </c>
      <c r="I295" s="10">
        <v>62.777777777777779</v>
      </c>
      <c r="J295" s="10">
        <v>88.811999999999998</v>
      </c>
      <c r="K295" s="10">
        <v>63.366956391791533</v>
      </c>
      <c r="L295" s="6" t="s">
        <v>68</v>
      </c>
      <c r="M295" s="6" t="s">
        <v>298</v>
      </c>
      <c r="N295" s="11" t="str">
        <f>VLOOKUP(Séparateur[[#This Row],[Puits]],Puits!$A$1:$F$267,3,FALSE)</f>
        <v>Centre</v>
      </c>
      <c r="O295" s="34">
        <f>(Séparateur[[#This Row],[Qw (sm3/j)]]/(Séparateur[[#This Row],[Qg (Msm3/j)]]*1000))*1000000</f>
        <v>1.2388139301476917</v>
      </c>
      <c r="P295" s="34">
        <f>(Séparateur[[#This Row],[Qc (sm3/j)]]/(Séparateur[[#This Row],[Qg (Msm3/j)]]*1000))*1000000</f>
        <v>9.0286438976865675</v>
      </c>
      <c r="Q295" s="46">
        <v>0.76</v>
      </c>
      <c r="R295" s="46">
        <v>0.69199999999999995</v>
      </c>
      <c r="S295" s="34">
        <v>8</v>
      </c>
    </row>
    <row r="296" spans="1:19" x14ac:dyDescent="0.25">
      <c r="A296" s="6">
        <v>90</v>
      </c>
      <c r="B296" s="7" t="s">
        <v>182</v>
      </c>
      <c r="C296" s="8">
        <v>45421</v>
      </c>
      <c r="D296" s="7">
        <v>2090</v>
      </c>
      <c r="E296" s="42">
        <v>1081.6787115000002</v>
      </c>
      <c r="F296" s="10">
        <v>9.7200000000000042</v>
      </c>
      <c r="G296" s="10">
        <v>0.76800000000000024</v>
      </c>
      <c r="H296" s="10">
        <v>45.722100366158706</v>
      </c>
      <c r="I296" s="10">
        <v>64.916500000000028</v>
      </c>
      <c r="J296" s="10">
        <v>89.004999999999995</v>
      </c>
      <c r="K296" s="10">
        <v>61.109474958392155</v>
      </c>
      <c r="L296" s="6" t="s">
        <v>67</v>
      </c>
      <c r="M296" s="6" t="s">
        <v>298</v>
      </c>
      <c r="N296" s="11" t="str">
        <f>VLOOKUP(Séparateur[[#This Row],[Puits]],Puits!$A$1:$F$267,3,FALSE)</f>
        <v>Centre</v>
      </c>
      <c r="O296" s="34">
        <f>(Séparateur[[#This Row],[Qw (sm3/j)]]/(Séparateur[[#This Row],[Qg (Msm3/j)]]*1000))*1000000</f>
        <v>0.71000750207516683</v>
      </c>
      <c r="P296" s="34">
        <f>(Séparateur[[#This Row],[Qc (sm3/j)]]/(Séparateur[[#This Row],[Qg (Msm3/j)]]*1000))*1000000</f>
        <v>8.9860324481388307</v>
      </c>
      <c r="Q296" s="46">
        <v>0.76600000000000001</v>
      </c>
      <c r="R296" s="46">
        <v>0.69</v>
      </c>
      <c r="S296" s="34">
        <v>12</v>
      </c>
    </row>
    <row r="297" spans="1:19" x14ac:dyDescent="0.25">
      <c r="A297" s="6">
        <v>90</v>
      </c>
      <c r="B297" s="7" t="s">
        <v>182</v>
      </c>
      <c r="C297" s="8">
        <v>45421</v>
      </c>
      <c r="D297" s="7">
        <v>2090</v>
      </c>
      <c r="E297" s="42">
        <v>809.27632999999992</v>
      </c>
      <c r="F297" s="10">
        <v>7.36</v>
      </c>
      <c r="G297" s="10">
        <v>0.70400000000000007</v>
      </c>
      <c r="H297" s="10">
        <v>50.11795630069318</v>
      </c>
      <c r="I297" s="10">
        <v>66.771666666666661</v>
      </c>
      <c r="J297" s="10">
        <v>89.498999999999995</v>
      </c>
      <c r="K297" s="10">
        <v>62.874670720956779</v>
      </c>
      <c r="L297" s="6" t="s">
        <v>68</v>
      </c>
      <c r="M297" s="6" t="s">
        <v>298</v>
      </c>
      <c r="N297" s="11" t="str">
        <f>VLOOKUP(Séparateur[[#This Row],[Puits]],Puits!$A$1:$F$267,3,FALSE)</f>
        <v>Centre</v>
      </c>
      <c r="O297" s="34">
        <f>(Séparateur[[#This Row],[Qw (sm3/j)]]/(Séparateur[[#This Row],[Qg (Msm3/j)]]*1000))*1000000</f>
        <v>0.8699129999267371</v>
      </c>
      <c r="P297" s="34">
        <f>(Séparateur[[#This Row],[Qc (sm3/j)]]/(Séparateur[[#This Row],[Qg (Msm3/j)]]*1000))*1000000</f>
        <v>9.0945449992340688</v>
      </c>
      <c r="Q297" s="46">
        <v>0.76800000000000002</v>
      </c>
      <c r="R297" s="46">
        <v>0.69199999999999995</v>
      </c>
      <c r="S297" s="34">
        <v>12</v>
      </c>
    </row>
    <row r="298" spans="1:19" x14ac:dyDescent="0.25">
      <c r="A298" s="6">
        <v>90</v>
      </c>
      <c r="B298" s="7" t="s">
        <v>182</v>
      </c>
      <c r="C298" s="8">
        <v>45421</v>
      </c>
      <c r="D298" s="7">
        <v>2090</v>
      </c>
      <c r="E298" s="42">
        <v>546.36287166666659</v>
      </c>
      <c r="F298" s="10">
        <v>5.2</v>
      </c>
      <c r="G298" s="10">
        <v>0.57599999999999996</v>
      </c>
      <c r="H298" s="10">
        <v>53.491078411932506</v>
      </c>
      <c r="I298" s="10">
        <v>64.879666666666665</v>
      </c>
      <c r="J298" s="10">
        <v>89.911000000000001</v>
      </c>
      <c r="K298" s="10">
        <v>64.344632976166451</v>
      </c>
      <c r="L298" s="6" t="s">
        <v>68</v>
      </c>
      <c r="M298" s="6" t="s">
        <v>298</v>
      </c>
      <c r="N298" s="11" t="str">
        <f>VLOOKUP(Séparateur[[#This Row],[Puits]],Puits!$A$1:$F$267,3,FALSE)</f>
        <v>Centre</v>
      </c>
      <c r="O298" s="34">
        <f>(Séparateur[[#This Row],[Qw (sm3/j)]]/(Séparateur[[#This Row],[Qg (Msm3/j)]]*1000))*1000000</f>
        <v>1.0542444039854428</v>
      </c>
      <c r="P298" s="34">
        <f>(Séparateur[[#This Row],[Qc (sm3/j)]]/(Séparateur[[#This Row],[Qg (Msm3/j)]]*1000))*1000000</f>
        <v>9.5174842026463615</v>
      </c>
      <c r="Q298" s="46">
        <v>0.77</v>
      </c>
      <c r="R298" s="46">
        <v>0.69399999999999995</v>
      </c>
      <c r="S298" s="34">
        <v>12</v>
      </c>
    </row>
    <row r="299" spans="1:19" x14ac:dyDescent="0.25">
      <c r="A299" s="6">
        <v>91</v>
      </c>
      <c r="B299" s="7" t="s">
        <v>229</v>
      </c>
      <c r="C299" s="8">
        <v>45422</v>
      </c>
      <c r="D299" s="7">
        <v>2145</v>
      </c>
      <c r="E299" s="42">
        <v>1098.3120100000001</v>
      </c>
      <c r="F299" s="10">
        <v>8.7600000000000016</v>
      </c>
      <c r="G299" s="10">
        <v>0.76800000000000024</v>
      </c>
      <c r="H299" s="10">
        <v>46.724089588443711</v>
      </c>
      <c r="I299" s="10">
        <v>57.503000000000007</v>
      </c>
      <c r="J299" s="10">
        <v>90.197000000000003</v>
      </c>
      <c r="K299" s="10">
        <v>62.514143862021918</v>
      </c>
      <c r="L299" s="6" t="s">
        <v>67</v>
      </c>
      <c r="M299" s="6" t="s">
        <v>298</v>
      </c>
      <c r="N299" s="11" t="str">
        <f>VLOOKUP(Séparateur[[#This Row],[Puits]],Puits!$A$1:$F$267,3,FALSE)</f>
        <v>Centre</v>
      </c>
      <c r="O299" s="34">
        <f>(Séparateur[[#This Row],[Qw (sm3/j)]]/(Séparateur[[#This Row],[Qg (Msm3/j)]]*1000))*1000000</f>
        <v>0.69925485017686395</v>
      </c>
      <c r="P299" s="34">
        <f>(Séparateur[[#This Row],[Qc (sm3/j)]]/(Séparateur[[#This Row],[Qg (Msm3/j)]]*1000))*1000000</f>
        <v>7.975875634829853</v>
      </c>
      <c r="Q299" s="46">
        <v>0.77200000000000002</v>
      </c>
      <c r="R299" s="46">
        <v>0.69399999999999995</v>
      </c>
      <c r="S299" s="34">
        <v>0</v>
      </c>
    </row>
    <row r="300" spans="1:19" x14ac:dyDescent="0.25">
      <c r="A300" s="6">
        <v>91</v>
      </c>
      <c r="B300" s="7" t="s">
        <v>229</v>
      </c>
      <c r="C300" s="8">
        <v>45422</v>
      </c>
      <c r="D300" s="7">
        <v>2145</v>
      </c>
      <c r="E300" s="42">
        <v>834.29179133333344</v>
      </c>
      <c r="F300" s="10">
        <v>7.04</v>
      </c>
      <c r="G300" s="10">
        <v>0.65600000000000003</v>
      </c>
      <c r="H300" s="10">
        <v>50.897420104110367</v>
      </c>
      <c r="I300" s="10">
        <v>59.649000000000001</v>
      </c>
      <c r="J300" s="10">
        <v>90.57</v>
      </c>
      <c r="K300" s="10">
        <v>64.151372929198686</v>
      </c>
      <c r="L300" s="6" t="s">
        <v>68</v>
      </c>
      <c r="M300" s="6" t="s">
        <v>298</v>
      </c>
      <c r="N300" s="11" t="str">
        <f>VLOOKUP(Séparateur[[#This Row],[Puits]],Puits!$A$1:$F$267,3,FALSE)</f>
        <v>Centre</v>
      </c>
      <c r="O300" s="34">
        <f>(Séparateur[[#This Row],[Qw (sm3/j)]]/(Séparateur[[#This Row],[Qg (Msm3/j)]]*1000))*1000000</f>
        <v>0.78629564238143324</v>
      </c>
      <c r="P300" s="34">
        <f>(Séparateur[[#This Row],[Qc (sm3/j)]]/(Séparateur[[#This Row],[Qg (Msm3/j)]]*1000))*1000000</f>
        <v>8.4382946987275744</v>
      </c>
      <c r="Q300" s="46">
        <v>0.77400000000000002</v>
      </c>
      <c r="R300" s="46">
        <v>0.69599999999999995</v>
      </c>
      <c r="S300" s="34">
        <v>0</v>
      </c>
    </row>
    <row r="301" spans="1:19" x14ac:dyDescent="0.25">
      <c r="A301" s="6">
        <v>91</v>
      </c>
      <c r="B301" s="7" t="s">
        <v>229</v>
      </c>
      <c r="C301" s="8">
        <v>45422</v>
      </c>
      <c r="D301" s="7">
        <v>2145</v>
      </c>
      <c r="E301" s="42">
        <v>553.7591533333333</v>
      </c>
      <c r="F301" s="10">
        <v>5.1680000000000001</v>
      </c>
      <c r="G301" s="10">
        <v>0.60799999999999998</v>
      </c>
      <c r="H301" s="10">
        <v>54.632114779140906</v>
      </c>
      <c r="I301" s="10">
        <v>60.972333333333339</v>
      </c>
      <c r="J301" s="10">
        <v>90.926000000000002</v>
      </c>
      <c r="K301" s="10">
        <v>65.909880777187553</v>
      </c>
      <c r="L301" s="6" t="s">
        <v>68</v>
      </c>
      <c r="M301" s="6" t="s">
        <v>298</v>
      </c>
      <c r="N301" s="11" t="str">
        <f>VLOOKUP(Séparateur[[#This Row],[Puits]],Puits!$A$1:$F$267,3,FALSE)</f>
        <v>Centre</v>
      </c>
      <c r="O301" s="34">
        <f>(Séparateur[[#This Row],[Qw (sm3/j)]]/(Séparateur[[#This Row],[Qg (Msm3/j)]]*1000))*1000000</f>
        <v>1.0979502484792636</v>
      </c>
      <c r="P301" s="34">
        <f>(Séparateur[[#This Row],[Qc (sm3/j)]]/(Séparateur[[#This Row],[Qg (Msm3/j)]]*1000))*1000000</f>
        <v>9.3325771120737411</v>
      </c>
      <c r="Q301" s="46">
        <v>0.77600000000000002</v>
      </c>
      <c r="R301" s="46">
        <v>0.7</v>
      </c>
      <c r="S301" s="34">
        <v>0</v>
      </c>
    </row>
    <row r="302" spans="1:19" x14ac:dyDescent="0.25">
      <c r="A302" s="6">
        <v>92</v>
      </c>
      <c r="B302" s="7" t="s">
        <v>251</v>
      </c>
      <c r="C302" s="8">
        <v>45424</v>
      </c>
      <c r="D302" s="7">
        <v>2140</v>
      </c>
      <c r="E302" s="42">
        <v>1136.673</v>
      </c>
      <c r="F302" s="10">
        <v>16.16</v>
      </c>
      <c r="G302" s="10">
        <v>0.77</v>
      </c>
      <c r="H302" s="10">
        <v>48.401196208123146</v>
      </c>
      <c r="I302" s="10">
        <v>65.555555555555557</v>
      </c>
      <c r="J302" s="10">
        <v>89.14</v>
      </c>
      <c r="K302" s="10">
        <v>65.31796586344575</v>
      </c>
      <c r="L302" s="6" t="s">
        <v>67</v>
      </c>
      <c r="M302" s="6" t="s">
        <v>298</v>
      </c>
      <c r="N302" s="11" t="str">
        <f>VLOOKUP(Séparateur[[#This Row],[Puits]],Puits!$A$1:$F$267,3,FALSE)</f>
        <v>Centre</v>
      </c>
      <c r="O302" s="34">
        <f>(Séparateur[[#This Row],[Qw (sm3/j)]]/(Séparateur[[#This Row],[Qg (Msm3/j)]]*1000))*1000000</f>
        <v>0.67741558038239669</v>
      </c>
      <c r="P302" s="34">
        <f>(Séparateur[[#This Row],[Qc (sm3/j)]]/(Séparateur[[#This Row],[Qg (Msm3/j)]]*1000))*1000000</f>
        <v>14.2169295830903</v>
      </c>
      <c r="Q302" s="46">
        <v>0.76400000000000001</v>
      </c>
      <c r="R302" s="46">
        <v>0.69</v>
      </c>
      <c r="S302" s="34">
        <v>4</v>
      </c>
    </row>
    <row r="303" spans="1:19" x14ac:dyDescent="0.25">
      <c r="A303" s="6">
        <v>92</v>
      </c>
      <c r="B303" s="7" t="s">
        <v>251</v>
      </c>
      <c r="C303" s="8">
        <v>45424</v>
      </c>
      <c r="D303" s="7">
        <v>2140</v>
      </c>
      <c r="E303" s="42">
        <v>858.07299999999998</v>
      </c>
      <c r="F303" s="10">
        <v>12.43</v>
      </c>
      <c r="G303" s="10">
        <v>0.67</v>
      </c>
      <c r="H303" s="10">
        <v>51.986470001317457</v>
      </c>
      <c r="I303" s="10">
        <v>66.666666666666671</v>
      </c>
      <c r="J303" s="10">
        <v>89.372</v>
      </c>
      <c r="K303" s="10">
        <v>66.220834331174203</v>
      </c>
      <c r="L303" s="6" t="s">
        <v>68</v>
      </c>
      <c r="M303" s="6" t="s">
        <v>298</v>
      </c>
      <c r="N303" s="11" t="str">
        <f>VLOOKUP(Séparateur[[#This Row],[Puits]],Puits!$A$1:$F$267,3,FALSE)</f>
        <v>Centre</v>
      </c>
      <c r="O303" s="34">
        <f>(Séparateur[[#This Row],[Qw (sm3/j)]]/(Séparateur[[#This Row],[Qg (Msm3/j)]]*1000))*1000000</f>
        <v>0.78081934753803006</v>
      </c>
      <c r="P303" s="34">
        <f>(Séparateur[[#This Row],[Qc (sm3/j)]]/(Séparateur[[#This Row],[Qg (Msm3/j)]]*1000))*1000000</f>
        <v>14.485946999847332</v>
      </c>
      <c r="Q303" s="46">
        <v>0.76600000000000001</v>
      </c>
      <c r="R303" s="46">
        <v>0.69399999999999995</v>
      </c>
      <c r="S303" s="34">
        <v>4</v>
      </c>
    </row>
    <row r="304" spans="1:19" x14ac:dyDescent="0.25">
      <c r="A304" s="6">
        <v>92</v>
      </c>
      <c r="B304" s="7" t="s">
        <v>251</v>
      </c>
      <c r="C304" s="8">
        <v>45424</v>
      </c>
      <c r="D304" s="7">
        <v>2140</v>
      </c>
      <c r="E304" s="42">
        <v>584.63900000000001</v>
      </c>
      <c r="F304" s="10">
        <v>8.42</v>
      </c>
      <c r="G304" s="10">
        <v>0.55000000000000004</v>
      </c>
      <c r="H304" s="10">
        <v>55.020163210943409</v>
      </c>
      <c r="I304" s="10">
        <v>65</v>
      </c>
      <c r="J304" s="10">
        <v>89.566999999999993</v>
      </c>
      <c r="K304" s="10">
        <v>67.026762511340522</v>
      </c>
      <c r="L304" s="6" t="s">
        <v>68</v>
      </c>
      <c r="M304" s="6" t="s">
        <v>298</v>
      </c>
      <c r="N304" s="11" t="str">
        <f>VLOOKUP(Séparateur[[#This Row],[Puits]],Puits!$A$1:$F$267,3,FALSE)</f>
        <v>Centre</v>
      </c>
      <c r="O304" s="34">
        <f>(Séparateur[[#This Row],[Qw (sm3/j)]]/(Séparateur[[#This Row],[Qg (Msm3/j)]]*1000))*1000000</f>
        <v>0.94075147227605416</v>
      </c>
      <c r="P304" s="34">
        <f>(Séparateur[[#This Row],[Qc (sm3/j)]]/(Séparateur[[#This Row],[Qg (Msm3/j)]]*1000))*1000000</f>
        <v>14.402049811935228</v>
      </c>
      <c r="Q304" s="46">
        <v>0.76800000000000002</v>
      </c>
      <c r="R304" s="46">
        <v>0.69599999999999995</v>
      </c>
      <c r="S304" s="34">
        <v>4</v>
      </c>
    </row>
    <row r="305" spans="1:19" x14ac:dyDescent="0.25">
      <c r="A305" s="6">
        <v>93</v>
      </c>
      <c r="B305" s="7" t="s">
        <v>207</v>
      </c>
      <c r="C305" s="8">
        <v>45425</v>
      </c>
      <c r="D305" s="7">
        <v>2080</v>
      </c>
      <c r="E305" s="42">
        <v>523.05200000000002</v>
      </c>
      <c r="F305" s="10">
        <v>5.05</v>
      </c>
      <c r="G305" s="10">
        <v>0.55000000000000004</v>
      </c>
      <c r="H305" s="10">
        <v>36.266423369619339</v>
      </c>
      <c r="I305" s="10">
        <v>60</v>
      </c>
      <c r="J305" s="10">
        <v>81.358999999999995</v>
      </c>
      <c r="K305" s="10">
        <v>45.042966772640163</v>
      </c>
      <c r="L305" s="6" t="s">
        <v>67</v>
      </c>
      <c r="M305" s="6" t="s">
        <v>298</v>
      </c>
      <c r="N305" s="11" t="str">
        <f>VLOOKUP(Séparateur[[#This Row],[Puits]],Puits!$A$1:$F$267,3,FALSE)</f>
        <v>Centre</v>
      </c>
      <c r="O305" s="34">
        <f>(Séparateur[[#This Row],[Qw (sm3/j)]]/(Séparateur[[#This Row],[Qg (Msm3/j)]]*1000))*1000000</f>
        <v>1.0515206901034697</v>
      </c>
      <c r="P305" s="34">
        <f>(Séparateur[[#This Row],[Qc (sm3/j)]]/(Séparateur[[#This Row],[Qg (Msm3/j)]]*1000))*1000000</f>
        <v>9.6548717909500397</v>
      </c>
      <c r="Q305" s="46">
        <v>0.78200000000000003</v>
      </c>
      <c r="R305" s="46">
        <v>0.67</v>
      </c>
      <c r="S305" s="34">
        <v>10</v>
      </c>
    </row>
    <row r="306" spans="1:19" x14ac:dyDescent="0.25">
      <c r="A306" s="6">
        <v>93</v>
      </c>
      <c r="B306" s="7" t="s">
        <v>207</v>
      </c>
      <c r="C306" s="8">
        <v>45425</v>
      </c>
      <c r="D306" s="7">
        <v>2080</v>
      </c>
      <c r="E306" s="42">
        <v>394.99900000000002</v>
      </c>
      <c r="F306" s="10">
        <v>4.37</v>
      </c>
      <c r="G306" s="10">
        <v>0.46</v>
      </c>
      <c r="H306" s="10">
        <v>46.263821446795774</v>
      </c>
      <c r="I306" s="10">
        <v>60</v>
      </c>
      <c r="J306" s="10">
        <v>84.394000000000005</v>
      </c>
      <c r="K306" s="10">
        <v>55.349318924187827</v>
      </c>
      <c r="L306" s="6" t="s">
        <v>68</v>
      </c>
      <c r="M306" s="6" t="s">
        <v>298</v>
      </c>
      <c r="N306" s="11" t="str">
        <f>VLOOKUP(Séparateur[[#This Row],[Puits]],Puits!$A$1:$F$267,3,FALSE)</f>
        <v>Centre</v>
      </c>
      <c r="O306" s="34">
        <f>(Séparateur[[#This Row],[Qw (sm3/j)]]/(Séparateur[[#This Row],[Qg (Msm3/j)]]*1000))*1000000</f>
        <v>1.164559910278254</v>
      </c>
      <c r="P306" s="34">
        <f>(Séparateur[[#This Row],[Qc (sm3/j)]]/(Séparateur[[#This Row],[Qg (Msm3/j)]]*1000))*1000000</f>
        <v>11.063319147643412</v>
      </c>
      <c r="Q306" s="46">
        <v>0.78400000000000003</v>
      </c>
      <c r="R306" s="46">
        <v>0.70399999999999996</v>
      </c>
      <c r="S306" s="34">
        <v>10</v>
      </c>
    </row>
    <row r="307" spans="1:19" x14ac:dyDescent="0.25">
      <c r="A307" s="6">
        <v>93</v>
      </c>
      <c r="B307" s="7" t="s">
        <v>207</v>
      </c>
      <c r="C307" s="8">
        <v>45425</v>
      </c>
      <c r="D307" s="7">
        <v>2080</v>
      </c>
      <c r="E307" s="42">
        <v>275.87700000000001</v>
      </c>
      <c r="F307" s="10">
        <v>3.5</v>
      </c>
      <c r="G307" s="10">
        <v>0.35</v>
      </c>
      <c r="H307" s="10">
        <v>52.331207866047677</v>
      </c>
      <c r="I307" s="10">
        <v>57.222222222222221</v>
      </c>
      <c r="J307" s="10">
        <v>86.137</v>
      </c>
      <c r="K307" s="10">
        <v>61.578938982581768</v>
      </c>
      <c r="L307" s="6" t="s">
        <v>68</v>
      </c>
      <c r="M307" s="6" t="s">
        <v>298</v>
      </c>
      <c r="N307" s="11" t="str">
        <f>VLOOKUP(Séparateur[[#This Row],[Puits]],Puits!$A$1:$F$267,3,FALSE)</f>
        <v>Centre</v>
      </c>
      <c r="O307" s="34">
        <f>(Séparateur[[#This Row],[Qw (sm3/j)]]/(Séparateur[[#This Row],[Qg (Msm3/j)]]*1000))*1000000</f>
        <v>1.2686813326228716</v>
      </c>
      <c r="P307" s="34">
        <f>(Séparateur[[#This Row],[Qc (sm3/j)]]/(Séparateur[[#This Row],[Qg (Msm3/j)]]*1000))*1000000</f>
        <v>12.686813326228718</v>
      </c>
      <c r="Q307" s="46">
        <v>0.78600000000000003</v>
      </c>
      <c r="R307" s="46">
        <v>0.70599999999999996</v>
      </c>
      <c r="S307" s="34">
        <v>10</v>
      </c>
    </row>
    <row r="308" spans="1:19" x14ac:dyDescent="0.25">
      <c r="A308" s="6">
        <v>94</v>
      </c>
      <c r="B308" s="7" t="s">
        <v>144</v>
      </c>
      <c r="C308" s="8">
        <v>45427</v>
      </c>
      <c r="D308" s="7">
        <v>2170</v>
      </c>
      <c r="E308" s="42">
        <v>577.85199999999998</v>
      </c>
      <c r="F308" s="10">
        <v>5.56</v>
      </c>
      <c r="G308" s="10">
        <v>0.77</v>
      </c>
      <c r="H308" s="10">
        <v>43.161180664223778</v>
      </c>
      <c r="I308" s="10">
        <v>65.555555555555557</v>
      </c>
      <c r="J308" s="10">
        <v>86.757000000000005</v>
      </c>
      <c r="K308" s="10">
        <v>53.303023906722174</v>
      </c>
      <c r="L308" s="6" t="s">
        <v>67</v>
      </c>
      <c r="M308" s="6" t="s">
        <v>298</v>
      </c>
      <c r="N308" s="11" t="str">
        <f>VLOOKUP(Séparateur[[#This Row],[Puits]],Puits!$A$1:$F$267,3,FALSE)</f>
        <v>Centre</v>
      </c>
      <c r="O308" s="34">
        <f>(Séparateur[[#This Row],[Qw (sm3/j)]]/(Séparateur[[#This Row],[Qg (Msm3/j)]]*1000))*1000000</f>
        <v>1.3325211299779183</v>
      </c>
      <c r="P308" s="34">
        <f>(Séparateur[[#This Row],[Qc (sm3/j)]]/(Séparateur[[#This Row],[Qg (Msm3/j)]]*1000))*1000000</f>
        <v>9.6218408865937981</v>
      </c>
      <c r="Q308" s="46">
        <v>0.77500000000000002</v>
      </c>
      <c r="R308" s="46">
        <v>0.68799999999999994</v>
      </c>
      <c r="S308" s="34">
        <v>0</v>
      </c>
    </row>
    <row r="309" spans="1:19" x14ac:dyDescent="0.25">
      <c r="A309" s="6">
        <v>94</v>
      </c>
      <c r="B309" s="7" t="s">
        <v>144</v>
      </c>
      <c r="C309" s="8">
        <v>45427</v>
      </c>
      <c r="D309" s="7">
        <v>2170</v>
      </c>
      <c r="E309" s="42">
        <v>439.86984000000001</v>
      </c>
      <c r="F309" s="10">
        <v>4.83</v>
      </c>
      <c r="G309" s="10">
        <v>0.59</v>
      </c>
      <c r="H309" s="10">
        <v>47.435930186878529</v>
      </c>
      <c r="I309" s="10">
        <v>66.111111111111114</v>
      </c>
      <c r="J309" s="10">
        <v>87.748999999999995</v>
      </c>
      <c r="K309" s="10">
        <v>57.397751316414805</v>
      </c>
      <c r="L309" s="6" t="s">
        <v>68</v>
      </c>
      <c r="M309" s="6" t="s">
        <v>298</v>
      </c>
      <c r="N309" s="11" t="str">
        <f>VLOOKUP(Séparateur[[#This Row],[Puits]],Puits!$A$1:$F$267,3,FALSE)</f>
        <v>Centre</v>
      </c>
      <c r="O309" s="34">
        <f>(Séparateur[[#This Row],[Qw (sm3/j)]]/(Séparateur[[#This Row],[Qg (Msm3/j)]]*1000))*1000000</f>
        <v>1.3413058735738734</v>
      </c>
      <c r="P309" s="34">
        <f>(Séparateur[[#This Row],[Qc (sm3/j)]]/(Séparateur[[#This Row],[Qg (Msm3/j)]]*1000))*1000000</f>
        <v>10.980520965020016</v>
      </c>
      <c r="Q309" s="46">
        <v>0.77600000000000002</v>
      </c>
      <c r="R309" s="46">
        <v>0.69</v>
      </c>
      <c r="S309" s="34">
        <v>0</v>
      </c>
    </row>
    <row r="310" spans="1:19" x14ac:dyDescent="0.25">
      <c r="A310" s="6">
        <v>94</v>
      </c>
      <c r="B310" s="7" t="s">
        <v>144</v>
      </c>
      <c r="C310" s="8">
        <v>45427</v>
      </c>
      <c r="D310" s="7">
        <v>2170</v>
      </c>
      <c r="E310" s="42">
        <v>291.50880000000001</v>
      </c>
      <c r="F310" s="10">
        <v>3.73</v>
      </c>
      <c r="G310" s="10">
        <v>0.45</v>
      </c>
      <c r="H310" s="10">
        <v>51.503836990695142</v>
      </c>
      <c r="I310" s="10">
        <v>64.444444444444443</v>
      </c>
      <c r="J310" s="10">
        <v>88.555999999999997</v>
      </c>
      <c r="K310" s="10">
        <v>61.180353063380686</v>
      </c>
      <c r="L310" s="6" t="s">
        <v>68</v>
      </c>
      <c r="M310" s="6" t="s">
        <v>298</v>
      </c>
      <c r="N310" s="11" t="str">
        <f>VLOOKUP(Séparateur[[#This Row],[Puits]],Puits!$A$1:$F$267,3,FALSE)</f>
        <v>Centre</v>
      </c>
      <c r="O310" s="34">
        <f>(Séparateur[[#This Row],[Qw (sm3/j)]]/(Séparateur[[#This Row],[Qg (Msm3/j)]]*1000))*1000000</f>
        <v>1.5436926775452406</v>
      </c>
      <c r="P310" s="34">
        <f>(Séparateur[[#This Row],[Qc (sm3/j)]]/(Séparateur[[#This Row],[Qg (Msm3/j)]]*1000))*1000000</f>
        <v>12.795497082763882</v>
      </c>
      <c r="Q310" s="46">
        <v>0.77800000000000002</v>
      </c>
      <c r="R310" s="46">
        <v>0.69199999999999995</v>
      </c>
      <c r="S310" s="34">
        <v>0</v>
      </c>
    </row>
    <row r="311" spans="1:19" x14ac:dyDescent="0.25">
      <c r="A311" s="6">
        <v>95</v>
      </c>
      <c r="B311" s="7" t="s">
        <v>275</v>
      </c>
      <c r="C311" s="8">
        <v>45428</v>
      </c>
      <c r="D311" s="7">
        <v>2185</v>
      </c>
      <c r="E311" s="42">
        <v>505.71</v>
      </c>
      <c r="F311" s="10">
        <v>3.79</v>
      </c>
      <c r="G311" s="10">
        <v>91.2</v>
      </c>
      <c r="H311" s="10">
        <v>43.505918528953998</v>
      </c>
      <c r="I311" s="10">
        <v>63.888888888888893</v>
      </c>
      <c r="J311" s="10">
        <v>87.694000000000003</v>
      </c>
      <c r="K311" s="10">
        <v>63.762508617782998</v>
      </c>
      <c r="L311" s="6" t="s">
        <v>67</v>
      </c>
      <c r="M311" s="6" t="s">
        <v>298</v>
      </c>
      <c r="N311" s="11" t="str">
        <f>VLOOKUP(Séparateur[[#This Row],[Puits]],Puits!$A$1:$F$267,3,FALSE)</f>
        <v>Centre</v>
      </c>
      <c r="O311" s="34">
        <f>(Séparateur[[#This Row],[Qw (sm3/j)]]/(Séparateur[[#This Row],[Qg (Msm3/j)]]*1000))*1000000</f>
        <v>180.34051136026577</v>
      </c>
      <c r="P311" s="34">
        <f>(Séparateur[[#This Row],[Qc (sm3/j)]]/(Séparateur[[#This Row],[Qg (Msm3/j)]]*1000))*1000000</f>
        <v>7.4944137944671851</v>
      </c>
      <c r="Q311" s="46">
        <v>0.79400000000000004</v>
      </c>
      <c r="R311" s="46">
        <v>0.70399999999999996</v>
      </c>
      <c r="S311" s="34">
        <v>350</v>
      </c>
    </row>
    <row r="312" spans="1:19" x14ac:dyDescent="0.25">
      <c r="A312" s="6">
        <v>95</v>
      </c>
      <c r="B312" s="7" t="s">
        <v>275</v>
      </c>
      <c r="C312" s="8">
        <v>45428</v>
      </c>
      <c r="D312" s="7">
        <v>2185</v>
      </c>
      <c r="E312" s="42">
        <v>404.87299999999999</v>
      </c>
      <c r="F312" s="10">
        <v>3.15</v>
      </c>
      <c r="G312" s="10">
        <v>13.44</v>
      </c>
      <c r="H312" s="10">
        <v>52.055417574263501</v>
      </c>
      <c r="I312" s="10">
        <v>61.666666666666671</v>
      </c>
      <c r="J312" s="10">
        <v>87.564999999999998</v>
      </c>
      <c r="K312" s="10">
        <v>66.026264280320476</v>
      </c>
      <c r="L312" s="6" t="s">
        <v>68</v>
      </c>
      <c r="M312" s="6" t="s">
        <v>298</v>
      </c>
      <c r="N312" s="11" t="str">
        <f>VLOOKUP(Séparateur[[#This Row],[Puits]],Puits!$A$1:$F$267,3,FALSE)</f>
        <v>Centre</v>
      </c>
      <c r="O312" s="34">
        <f>(Séparateur[[#This Row],[Qw (sm3/j)]]/(Séparateur[[#This Row],[Qg (Msm3/j)]]*1000))*1000000</f>
        <v>33.195594667957607</v>
      </c>
      <c r="P312" s="34">
        <f>(Séparateur[[#This Row],[Qc (sm3/j)]]/(Séparateur[[#This Row],[Qg (Msm3/j)]]*1000))*1000000</f>
        <v>7.7802175003025633</v>
      </c>
      <c r="Q312" s="46">
        <v>0.79600000000000004</v>
      </c>
      <c r="R312" s="46">
        <v>0.70799999999999996</v>
      </c>
      <c r="S312" s="34">
        <v>350</v>
      </c>
    </row>
    <row r="313" spans="1:19" x14ac:dyDescent="0.25">
      <c r="A313" s="6">
        <v>95</v>
      </c>
      <c r="B313" s="7" t="s">
        <v>275</v>
      </c>
      <c r="C313" s="8">
        <v>45428</v>
      </c>
      <c r="D313" s="7">
        <v>2185</v>
      </c>
      <c r="E313" s="42">
        <v>247.471</v>
      </c>
      <c r="F313" s="10">
        <v>1.65</v>
      </c>
      <c r="G313" s="10">
        <v>0</v>
      </c>
      <c r="H313" s="10">
        <v>56.881747680486605</v>
      </c>
      <c r="I313" s="10">
        <v>57.222222222222221</v>
      </c>
      <c r="J313" s="10">
        <v>88.269000000000005</v>
      </c>
      <c r="K313" s="10">
        <v>69.487639284930736</v>
      </c>
      <c r="L313" s="6" t="s">
        <v>68</v>
      </c>
      <c r="M313" s="6" t="s">
        <v>298</v>
      </c>
      <c r="N313" s="11" t="str">
        <f>VLOOKUP(Séparateur[[#This Row],[Puits]],Puits!$A$1:$F$267,3,FALSE)</f>
        <v>Centre</v>
      </c>
      <c r="O313" s="34">
        <f>(Séparateur[[#This Row],[Qw (sm3/j)]]/(Séparateur[[#This Row],[Qg (Msm3/j)]]*1000))*1000000</f>
        <v>0</v>
      </c>
      <c r="P313" s="34">
        <f>(Séparateur[[#This Row],[Qc (sm3/j)]]/(Séparateur[[#This Row],[Qg (Msm3/j)]]*1000))*1000000</f>
        <v>6.6674479029866127</v>
      </c>
      <c r="Q313" s="46">
        <v>0.79800000000000004</v>
      </c>
      <c r="R313" s="46">
        <v>0.71</v>
      </c>
      <c r="S313" s="34">
        <v>0</v>
      </c>
    </row>
    <row r="314" spans="1:19" x14ac:dyDescent="0.25">
      <c r="A314" s="6">
        <v>96</v>
      </c>
      <c r="B314" s="7" t="s">
        <v>239</v>
      </c>
      <c r="C314" s="8">
        <v>45429</v>
      </c>
      <c r="D314" s="7">
        <v>2155</v>
      </c>
      <c r="E314" s="42">
        <v>555.77300000000002</v>
      </c>
      <c r="F314" s="10">
        <v>6.53</v>
      </c>
      <c r="G314" s="10">
        <v>0.59</v>
      </c>
      <c r="H314" s="10">
        <v>36.95589909907978</v>
      </c>
      <c r="I314" s="10">
        <v>61.111111111111114</v>
      </c>
      <c r="J314" s="10">
        <v>86.95</v>
      </c>
      <c r="K314" s="10">
        <v>46.373654930498816</v>
      </c>
      <c r="L314" s="6" t="s">
        <v>67</v>
      </c>
      <c r="M314" s="6" t="s">
        <v>298</v>
      </c>
      <c r="N314" s="11" t="str">
        <f>VLOOKUP(Séparateur[[#This Row],[Puits]],Puits!$A$1:$F$267,3,FALSE)</f>
        <v>Centre</v>
      </c>
      <c r="O314" s="34">
        <f>(Séparateur[[#This Row],[Qw (sm3/j)]]/(Séparateur[[#This Row],[Qg (Msm3/j)]]*1000))*1000000</f>
        <v>1.0615844958283327</v>
      </c>
      <c r="P314" s="34">
        <f>(Séparateur[[#This Row],[Qc (sm3/j)]]/(Séparateur[[#This Row],[Qg (Msm3/j)]]*1000))*1000000</f>
        <v>11.749401284337312</v>
      </c>
      <c r="Q314" s="46">
        <v>0.76500000000000001</v>
      </c>
      <c r="R314" s="46">
        <v>0.69199999999999995</v>
      </c>
      <c r="S314" s="34">
        <v>8</v>
      </c>
    </row>
    <row r="315" spans="1:19" x14ac:dyDescent="0.25">
      <c r="A315" s="6">
        <v>96</v>
      </c>
      <c r="B315" s="7" t="s">
        <v>239</v>
      </c>
      <c r="C315" s="8">
        <v>45429</v>
      </c>
      <c r="D315" s="7">
        <v>2155</v>
      </c>
      <c r="E315" s="42">
        <v>424.90100000000001</v>
      </c>
      <c r="F315" s="10">
        <v>4.87</v>
      </c>
      <c r="G315" s="10">
        <v>0.48</v>
      </c>
      <c r="H315" s="10">
        <v>41.989071924141022</v>
      </c>
      <c r="I315" s="10">
        <v>61.666666666666671</v>
      </c>
      <c r="J315" s="10">
        <v>88.132999999999996</v>
      </c>
      <c r="K315" s="10">
        <v>51.048024585948845</v>
      </c>
      <c r="L315" s="6" t="s">
        <v>68</v>
      </c>
      <c r="M315" s="6" t="s">
        <v>298</v>
      </c>
      <c r="N315" s="11" t="str">
        <f>VLOOKUP(Séparateur[[#This Row],[Puits]],Puits!$A$1:$F$267,3,FALSE)</f>
        <v>Centre</v>
      </c>
      <c r="O315" s="34">
        <f>(Séparateur[[#This Row],[Qw (sm3/j)]]/(Séparateur[[#This Row],[Qg (Msm3/j)]]*1000))*1000000</f>
        <v>1.1296749125090315</v>
      </c>
      <c r="P315" s="34">
        <f>(Séparateur[[#This Row],[Qc (sm3/j)]]/(Séparateur[[#This Row],[Qg (Msm3/j)]]*1000))*1000000</f>
        <v>11.461493383164548</v>
      </c>
      <c r="Q315" s="46">
        <v>0.76600000000000001</v>
      </c>
      <c r="R315" s="46">
        <v>0.69399999999999995</v>
      </c>
      <c r="S315" s="34">
        <v>8</v>
      </c>
    </row>
    <row r="316" spans="1:19" x14ac:dyDescent="0.25">
      <c r="A316" s="6">
        <v>96</v>
      </c>
      <c r="B316" s="7" t="s">
        <v>239</v>
      </c>
      <c r="C316" s="8">
        <v>45429</v>
      </c>
      <c r="D316" s="7">
        <v>2155</v>
      </c>
      <c r="E316" s="42">
        <v>284.714</v>
      </c>
      <c r="F316" s="10">
        <v>3.24</v>
      </c>
      <c r="G316" s="10">
        <v>0.31</v>
      </c>
      <c r="H316" s="10">
        <v>46.332769019741818</v>
      </c>
      <c r="I316" s="10">
        <v>61.111111111111114</v>
      </c>
      <c r="J316" s="10">
        <v>89.108999999999995</v>
      </c>
      <c r="K316" s="10">
        <v>55.499348842918423</v>
      </c>
      <c r="L316" s="6" t="s">
        <v>68</v>
      </c>
      <c r="M316" s="6" t="s">
        <v>298</v>
      </c>
      <c r="N316" s="11" t="str">
        <f>VLOOKUP(Séparateur[[#This Row],[Puits]],Puits!$A$1:$F$267,3,FALSE)</f>
        <v>Centre</v>
      </c>
      <c r="O316" s="34">
        <f>(Séparateur[[#This Row],[Qw (sm3/j)]]/(Séparateur[[#This Row],[Qg (Msm3/j)]]*1000))*1000000</f>
        <v>1.0888119305689219</v>
      </c>
      <c r="P316" s="34">
        <f>(Séparateur[[#This Row],[Qc (sm3/j)]]/(Séparateur[[#This Row],[Qg (Msm3/j)]]*1000))*1000000</f>
        <v>11.379840822720343</v>
      </c>
      <c r="Q316" s="46">
        <v>0.76800000000000002</v>
      </c>
      <c r="R316" s="46">
        <v>0.69799999999999995</v>
      </c>
      <c r="S316" s="34">
        <v>8</v>
      </c>
    </row>
    <row r="317" spans="1:19" x14ac:dyDescent="0.25">
      <c r="A317" s="6">
        <v>97</v>
      </c>
      <c r="B317" s="7" t="s">
        <v>165</v>
      </c>
      <c r="C317" s="8">
        <v>45430</v>
      </c>
      <c r="D317" s="7">
        <v>2085</v>
      </c>
      <c r="E317" s="42">
        <v>522.29499999999996</v>
      </c>
      <c r="F317" s="10">
        <v>9.16</v>
      </c>
      <c r="G317" s="10">
        <v>0.67</v>
      </c>
      <c r="H317" s="10">
        <v>35.094314629536584</v>
      </c>
      <c r="I317" s="10">
        <v>61.666666666666671</v>
      </c>
      <c r="J317" s="10">
        <v>87.087999999999994</v>
      </c>
      <c r="K317" s="10">
        <v>54.713346511333505</v>
      </c>
      <c r="L317" s="6" t="s">
        <v>67</v>
      </c>
      <c r="M317" s="6" t="s">
        <v>298</v>
      </c>
      <c r="N317" s="11" t="str">
        <f>VLOOKUP(Séparateur[[#This Row],[Puits]],Puits!$A$1:$F$267,3,FALSE)</f>
        <v>Centre</v>
      </c>
      <c r="O317" s="34">
        <f>(Séparateur[[#This Row],[Qw (sm3/j)]]/(Séparateur[[#This Row],[Qg (Msm3/j)]]*1000))*1000000</f>
        <v>1.2827999502197036</v>
      </c>
      <c r="P317" s="34">
        <f>(Séparateur[[#This Row],[Qc (sm3/j)]]/(Séparateur[[#This Row],[Qg (Msm3/j)]]*1000))*1000000</f>
        <v>17.537981408973859</v>
      </c>
      <c r="Q317" s="46">
        <v>0.75900000000000001</v>
      </c>
      <c r="R317" s="46">
        <v>0.69199999999999995</v>
      </c>
      <c r="S317" s="34">
        <v>10</v>
      </c>
    </row>
    <row r="318" spans="1:19" x14ac:dyDescent="0.25">
      <c r="A318" s="6">
        <v>97</v>
      </c>
      <c r="B318" s="7" t="s">
        <v>165</v>
      </c>
      <c r="C318" s="8">
        <v>45430</v>
      </c>
      <c r="D318" s="7">
        <v>2085</v>
      </c>
      <c r="E318" s="42">
        <v>397.697</v>
      </c>
      <c r="F318" s="10">
        <v>7.49</v>
      </c>
      <c r="G318" s="10">
        <v>0.59</v>
      </c>
      <c r="H318" s="10">
        <v>42.747495226547507</v>
      </c>
      <c r="I318" s="10">
        <v>63.333333333333336</v>
      </c>
      <c r="J318" s="10">
        <v>87.691999999999993</v>
      </c>
      <c r="K318" s="10">
        <v>57.638309398423544</v>
      </c>
      <c r="L318" s="6" t="s">
        <v>68</v>
      </c>
      <c r="M318" s="6" t="s">
        <v>298</v>
      </c>
      <c r="N318" s="11" t="str">
        <f>VLOOKUP(Séparateur[[#This Row],[Puits]],Puits!$A$1:$F$267,3,FALSE)</f>
        <v>Centre</v>
      </c>
      <c r="O318" s="34">
        <f>(Séparateur[[#This Row],[Qw (sm3/j)]]/(Séparateur[[#This Row],[Qg (Msm3/j)]]*1000))*1000000</f>
        <v>1.4835414901294202</v>
      </c>
      <c r="P318" s="34">
        <f>(Séparateur[[#This Row],[Qc (sm3/j)]]/(Séparateur[[#This Row],[Qg (Msm3/j)]]*1000))*1000000</f>
        <v>18.833433493337893</v>
      </c>
      <c r="Q318" s="46">
        <v>0.76</v>
      </c>
      <c r="R318" s="46">
        <v>0.69599999999999995</v>
      </c>
      <c r="S318" s="34">
        <v>10</v>
      </c>
    </row>
    <row r="319" spans="1:19" x14ac:dyDescent="0.25">
      <c r="A319" s="6">
        <v>97</v>
      </c>
      <c r="B319" s="7" t="s">
        <v>165</v>
      </c>
      <c r="C319" s="8">
        <v>45430</v>
      </c>
      <c r="D319" s="7">
        <v>2085</v>
      </c>
      <c r="E319" s="42">
        <v>268.21600000000001</v>
      </c>
      <c r="F319" s="10">
        <v>5.57</v>
      </c>
      <c r="G319" s="10">
        <v>0.46</v>
      </c>
      <c r="H319" s="10">
        <v>48.676986499907329</v>
      </c>
      <c r="I319" s="10">
        <v>63.888888888888893</v>
      </c>
      <c r="J319" s="10">
        <v>88.293999999999997</v>
      </c>
      <c r="K319" s="10">
        <v>60.585680246721054</v>
      </c>
      <c r="L319" s="6" t="s">
        <v>68</v>
      </c>
      <c r="M319" s="6" t="s">
        <v>298</v>
      </c>
      <c r="N319" s="11" t="str">
        <f>VLOOKUP(Séparateur[[#This Row],[Puits]],Puits!$A$1:$F$267,3,FALSE)</f>
        <v>Centre</v>
      </c>
      <c r="O319" s="34">
        <f>(Séparateur[[#This Row],[Qw (sm3/j)]]/(Séparateur[[#This Row],[Qg (Msm3/j)]]*1000))*1000000</f>
        <v>1.7150356429146658</v>
      </c>
      <c r="P319" s="34">
        <f>(Séparateur[[#This Row],[Qc (sm3/j)]]/(Séparateur[[#This Row],[Qg (Msm3/j)]]*1000))*1000000</f>
        <v>20.766844632684109</v>
      </c>
      <c r="Q319" s="46">
        <v>0.76200000000000001</v>
      </c>
      <c r="R319" s="46">
        <v>0.69799999999999995</v>
      </c>
      <c r="S319" s="34">
        <v>10</v>
      </c>
    </row>
    <row r="320" spans="1:19" x14ac:dyDescent="0.25">
      <c r="A320" s="6">
        <v>98</v>
      </c>
      <c r="B320" s="7" t="s">
        <v>284</v>
      </c>
      <c r="C320" s="8">
        <v>45431</v>
      </c>
      <c r="D320" s="7">
        <v>2090</v>
      </c>
      <c r="E320" s="42">
        <v>1009.921</v>
      </c>
      <c r="F320" s="10">
        <v>8.5299999999999994</v>
      </c>
      <c r="G320" s="10">
        <v>0.86</v>
      </c>
      <c r="H320" s="10">
        <v>44.264341831360483</v>
      </c>
      <c r="I320" s="10">
        <v>65</v>
      </c>
      <c r="J320" s="10">
        <v>88.775000000000006</v>
      </c>
      <c r="K320" s="10">
        <v>58.831447148254853</v>
      </c>
      <c r="L320" s="6" t="s">
        <v>67</v>
      </c>
      <c r="M320" s="6" t="s">
        <v>298</v>
      </c>
      <c r="N320" s="11" t="str">
        <f>VLOOKUP(Séparateur[[#This Row],[Puits]],Puits!$A$1:$F$267,3,FALSE)</f>
        <v>Centre</v>
      </c>
      <c r="O320" s="34">
        <f>(Séparateur[[#This Row],[Qw (sm3/j)]]/(Séparateur[[#This Row],[Qg (Msm3/j)]]*1000))*1000000</f>
        <v>0.85155175503826541</v>
      </c>
      <c r="P320" s="34">
        <f>(Séparateur[[#This Row],[Qc (sm3/j)]]/(Séparateur[[#This Row],[Qg (Msm3/j)]]*1000))*1000000</f>
        <v>8.446205198228375</v>
      </c>
      <c r="Q320" s="46">
        <v>0.76</v>
      </c>
      <c r="R320" s="46">
        <v>0.68799999999999994</v>
      </c>
      <c r="S320" s="34">
        <v>10</v>
      </c>
    </row>
    <row r="321" spans="1:19" x14ac:dyDescent="0.25">
      <c r="A321" s="6">
        <v>98</v>
      </c>
      <c r="B321" s="7" t="s">
        <v>284</v>
      </c>
      <c r="C321" s="8">
        <v>45431</v>
      </c>
      <c r="D321" s="7">
        <v>2090</v>
      </c>
      <c r="E321" s="42">
        <v>807.70799999999997</v>
      </c>
      <c r="F321" s="10">
        <v>7.14</v>
      </c>
      <c r="G321" s="10">
        <v>0.8</v>
      </c>
      <c r="H321" s="10">
        <v>47.849615624554794</v>
      </c>
      <c r="I321" s="10">
        <v>66.666666666666671</v>
      </c>
      <c r="J321" s="10">
        <v>89.203000000000003</v>
      </c>
      <c r="K321" s="10">
        <v>60.405520238613036</v>
      </c>
      <c r="L321" s="6" t="s">
        <v>68</v>
      </c>
      <c r="M321" s="6" t="s">
        <v>298</v>
      </c>
      <c r="N321" s="11" t="str">
        <f>VLOOKUP(Séparateur[[#This Row],[Puits]],Puits!$A$1:$F$267,3,FALSE)</f>
        <v>Centre</v>
      </c>
      <c r="O321" s="34">
        <f>(Séparateur[[#This Row],[Qw (sm3/j)]]/(Séparateur[[#This Row],[Qg (Msm3/j)]]*1000))*1000000</f>
        <v>0.99045694731264267</v>
      </c>
      <c r="P321" s="34">
        <f>(Séparateur[[#This Row],[Qc (sm3/j)]]/(Séparateur[[#This Row],[Qg (Msm3/j)]]*1000))*1000000</f>
        <v>8.8398282547653348</v>
      </c>
      <c r="Q321" s="46">
        <v>0.76200000000000001</v>
      </c>
      <c r="R321" s="46">
        <v>0.69</v>
      </c>
      <c r="S321" s="34">
        <v>10</v>
      </c>
    </row>
    <row r="322" spans="1:19" x14ac:dyDescent="0.25">
      <c r="A322" s="6">
        <v>98</v>
      </c>
      <c r="B322" s="7" t="s">
        <v>284</v>
      </c>
      <c r="C322" s="8">
        <v>45431</v>
      </c>
      <c r="D322" s="7">
        <v>2090</v>
      </c>
      <c r="E322" s="42">
        <v>609.38499999999999</v>
      </c>
      <c r="F322" s="10">
        <v>4.88</v>
      </c>
      <c r="G322" s="10">
        <v>0.67</v>
      </c>
      <c r="H322" s="10">
        <v>50.814361261234701</v>
      </c>
      <c r="I322" s="10">
        <v>66.111111111111114</v>
      </c>
      <c r="J322" s="10">
        <v>89.564999999999998</v>
      </c>
      <c r="K322" s="10">
        <v>61.774060614019078</v>
      </c>
      <c r="L322" s="6" t="s">
        <v>68</v>
      </c>
      <c r="M322" s="6" t="s">
        <v>298</v>
      </c>
      <c r="N322" s="11" t="str">
        <f>VLOOKUP(Séparateur[[#This Row],[Puits]],Puits!$A$1:$F$267,3,FALSE)</f>
        <v>Centre</v>
      </c>
      <c r="O322" s="34">
        <f>(Séparateur[[#This Row],[Qw (sm3/j)]]/(Séparateur[[#This Row],[Qg (Msm3/j)]]*1000))*1000000</f>
        <v>1.0994691369167275</v>
      </c>
      <c r="P322" s="34">
        <f>(Séparateur[[#This Row],[Qc (sm3/j)]]/(Séparateur[[#This Row],[Qg (Msm3/j)]]*1000))*1000000</f>
        <v>8.0080737136621352</v>
      </c>
      <c r="Q322" s="46">
        <v>0.76400000000000001</v>
      </c>
      <c r="R322" s="46">
        <v>0.69199999999999995</v>
      </c>
      <c r="S322" s="34">
        <v>10</v>
      </c>
    </row>
    <row r="323" spans="1:19" x14ac:dyDescent="0.25">
      <c r="A323" s="6">
        <v>99</v>
      </c>
      <c r="B323" s="7" t="s">
        <v>189</v>
      </c>
      <c r="C323" s="8">
        <v>45432</v>
      </c>
      <c r="D323" s="7">
        <v>2180</v>
      </c>
      <c r="E323" s="42">
        <v>611.33000000000004</v>
      </c>
      <c r="F323" s="10">
        <v>7</v>
      </c>
      <c r="G323" s="10">
        <v>0.7</v>
      </c>
      <c r="H323" s="10">
        <v>39.575906871029467</v>
      </c>
      <c r="I323" s="10">
        <v>61.666666666666671</v>
      </c>
      <c r="J323" s="10">
        <v>88.977000000000004</v>
      </c>
      <c r="K323" s="10">
        <v>49.706994292148281</v>
      </c>
      <c r="L323" s="6" t="s">
        <v>67</v>
      </c>
      <c r="M323" s="6" t="s">
        <v>298</v>
      </c>
      <c r="N323" s="11" t="str">
        <f>VLOOKUP(Séparateur[[#This Row],[Puits]],Puits!$A$1:$F$267,3,FALSE)</f>
        <v>Centre</v>
      </c>
      <c r="O323" s="34">
        <f>(Séparateur[[#This Row],[Qw (sm3/j)]]/(Séparateur[[#This Row],[Qg (Msm3/j)]]*1000))*1000000</f>
        <v>1.1450444113653837</v>
      </c>
      <c r="P323" s="34">
        <f>(Séparateur[[#This Row],[Qc (sm3/j)]]/(Séparateur[[#This Row],[Qg (Msm3/j)]]*1000))*1000000</f>
        <v>11.450444113653838</v>
      </c>
      <c r="Q323" s="46">
        <v>0.752</v>
      </c>
      <c r="R323" s="46">
        <v>0.69199999999999995</v>
      </c>
      <c r="S323" s="34">
        <v>0</v>
      </c>
    </row>
    <row r="324" spans="1:19" x14ac:dyDescent="0.25">
      <c r="A324" s="6">
        <v>99</v>
      </c>
      <c r="B324" s="7" t="s">
        <v>189</v>
      </c>
      <c r="C324" s="8">
        <v>45432</v>
      </c>
      <c r="D324" s="7">
        <v>2180</v>
      </c>
      <c r="E324" s="42">
        <v>492.416</v>
      </c>
      <c r="F324" s="10">
        <v>5.52</v>
      </c>
      <c r="G324" s="10">
        <v>0.62</v>
      </c>
      <c r="H324" s="10">
        <v>42.058019497087066</v>
      </c>
      <c r="I324" s="10">
        <v>62.777777777777779</v>
      </c>
      <c r="J324" s="10">
        <v>89.38</v>
      </c>
      <c r="K324" s="10">
        <v>51.548377122818287</v>
      </c>
      <c r="L324" s="6" t="s">
        <v>68</v>
      </c>
      <c r="M324" s="6" t="s">
        <v>298</v>
      </c>
      <c r="N324" s="11" t="str">
        <f>VLOOKUP(Séparateur[[#This Row],[Puits]],Puits!$A$1:$F$267,3,FALSE)</f>
        <v>Centre</v>
      </c>
      <c r="O324" s="34">
        <f>(Séparateur[[#This Row],[Qw (sm3/j)]]/(Séparateur[[#This Row],[Qg (Msm3/j)]]*1000))*1000000</f>
        <v>1.259097998440343</v>
      </c>
      <c r="P324" s="34">
        <f>(Séparateur[[#This Row],[Qc (sm3/j)]]/(Séparateur[[#This Row],[Qg (Msm3/j)]]*1000))*1000000</f>
        <v>11.210033792565635</v>
      </c>
      <c r="Q324" s="46">
        <v>0.754</v>
      </c>
      <c r="R324" s="46">
        <v>0.69399999999999995</v>
      </c>
      <c r="S324" s="34">
        <v>0</v>
      </c>
    </row>
    <row r="325" spans="1:19" x14ac:dyDescent="0.25">
      <c r="A325" s="6">
        <v>99</v>
      </c>
      <c r="B325" s="7" t="s">
        <v>189</v>
      </c>
      <c r="C325" s="8">
        <v>45432</v>
      </c>
      <c r="D325" s="7">
        <v>2180</v>
      </c>
      <c r="E325" s="42">
        <v>274.161</v>
      </c>
      <c r="F325" s="10">
        <v>3.04</v>
      </c>
      <c r="G325" s="10">
        <v>0.51</v>
      </c>
      <c r="H325" s="10">
        <v>46.19487387384973</v>
      </c>
      <c r="I325" s="10">
        <v>61.666666666666671</v>
      </c>
      <c r="J325" s="10">
        <v>90.001999999999995</v>
      </c>
      <c r="K325" s="10">
        <v>55.131513541251273</v>
      </c>
      <c r="L325" s="6" t="s">
        <v>68</v>
      </c>
      <c r="M325" s="6" t="s">
        <v>298</v>
      </c>
      <c r="N325" s="11" t="str">
        <f>VLOOKUP(Séparateur[[#This Row],[Puits]],Puits!$A$1:$F$267,3,FALSE)</f>
        <v>Centre</v>
      </c>
      <c r="O325" s="34">
        <f>(Séparateur[[#This Row],[Qw (sm3/j)]]/(Séparateur[[#This Row],[Qg (Msm3/j)]]*1000))*1000000</f>
        <v>1.8602208191537091</v>
      </c>
      <c r="P325" s="34">
        <f>(Séparateur[[#This Row],[Qc (sm3/j)]]/(Séparateur[[#This Row],[Qg (Msm3/j)]]*1000))*1000000</f>
        <v>11.088375078877011</v>
      </c>
      <c r="Q325" s="46">
        <v>0.75600000000000001</v>
      </c>
      <c r="R325" s="46">
        <v>0.69599999999999995</v>
      </c>
      <c r="S325" s="34">
        <v>0</v>
      </c>
    </row>
    <row r="326" spans="1:19" x14ac:dyDescent="0.25">
      <c r="A326" s="6">
        <v>100</v>
      </c>
      <c r="B326" s="7" t="s">
        <v>214</v>
      </c>
      <c r="C326" s="8">
        <v>45433</v>
      </c>
      <c r="D326" s="7">
        <v>2165</v>
      </c>
      <c r="E326" s="42">
        <v>687.26199999999994</v>
      </c>
      <c r="F326" s="10">
        <v>11.9</v>
      </c>
      <c r="G326" s="10">
        <v>0.69</v>
      </c>
      <c r="H326" s="10">
        <v>42.264862215925199</v>
      </c>
      <c r="I326" s="10">
        <v>61.111111111111114</v>
      </c>
      <c r="J326" s="10">
        <v>88.381</v>
      </c>
      <c r="K326" s="10">
        <v>69.25459648837311</v>
      </c>
      <c r="L326" s="6" t="s">
        <v>67</v>
      </c>
      <c r="M326" s="6" t="s">
        <v>298</v>
      </c>
      <c r="N326" s="11" t="str">
        <f>VLOOKUP(Séparateur[[#This Row],[Puits]],Puits!$A$1:$F$267,3,FALSE)</f>
        <v>Centre</v>
      </c>
      <c r="O326" s="34">
        <f>(Séparateur[[#This Row],[Qw (sm3/j)]]/(Séparateur[[#This Row],[Qg (Msm3/j)]]*1000))*1000000</f>
        <v>1.0039839246168127</v>
      </c>
      <c r="P326" s="34">
        <f>(Séparateur[[#This Row],[Qc (sm3/j)]]/(Séparateur[[#This Row],[Qg (Msm3/j)]]*1000))*1000000</f>
        <v>17.315085076724746</v>
      </c>
      <c r="Q326" s="46">
        <v>0.74</v>
      </c>
      <c r="R326" s="46">
        <v>0.68600000000000005</v>
      </c>
      <c r="S326" s="34">
        <v>0</v>
      </c>
    </row>
    <row r="327" spans="1:19" x14ac:dyDescent="0.25">
      <c r="A327" s="6">
        <v>100</v>
      </c>
      <c r="B327" s="7" t="s">
        <v>214</v>
      </c>
      <c r="C327" s="8">
        <v>45433</v>
      </c>
      <c r="D327" s="7">
        <v>2165</v>
      </c>
      <c r="E327" s="42">
        <v>485.52100000000002</v>
      </c>
      <c r="F327" s="10">
        <v>8.9600000000000009</v>
      </c>
      <c r="G327" s="10">
        <v>0.54</v>
      </c>
      <c r="H327" s="10">
        <v>51.986470001317457</v>
      </c>
      <c r="I327" s="10">
        <v>63.888888888888893</v>
      </c>
      <c r="J327" s="10">
        <v>88.698999999999998</v>
      </c>
      <c r="K327" s="10">
        <v>70.918715108998825</v>
      </c>
      <c r="L327" s="6" t="s">
        <v>68</v>
      </c>
      <c r="M327" s="6" t="s">
        <v>298</v>
      </c>
      <c r="N327" s="11" t="str">
        <f>VLOOKUP(Séparateur[[#This Row],[Puits]],Puits!$A$1:$F$267,3,FALSE)</f>
        <v>Centre</v>
      </c>
      <c r="O327" s="34">
        <f>(Séparateur[[#This Row],[Qw (sm3/j)]]/(Séparateur[[#This Row],[Qg (Msm3/j)]]*1000))*1000000</f>
        <v>1.1122072989633818</v>
      </c>
      <c r="P327" s="34">
        <f>(Séparateur[[#This Row],[Qc (sm3/j)]]/(Séparateur[[#This Row],[Qg (Msm3/j)]]*1000))*1000000</f>
        <v>18.45440259020722</v>
      </c>
      <c r="Q327" s="46">
        <v>0.74199999999999999</v>
      </c>
      <c r="R327" s="46">
        <v>0.68799999999999994</v>
      </c>
      <c r="S327" s="34">
        <v>0</v>
      </c>
    </row>
    <row r="328" spans="1:19" x14ac:dyDescent="0.25">
      <c r="A328" s="6">
        <v>100</v>
      </c>
      <c r="B328" s="7" t="s">
        <v>214</v>
      </c>
      <c r="C328" s="8">
        <v>45433</v>
      </c>
      <c r="D328" s="7">
        <v>2165</v>
      </c>
      <c r="E328" s="42">
        <v>279.762</v>
      </c>
      <c r="F328" s="10">
        <v>5.84</v>
      </c>
      <c r="G328" s="10">
        <v>0.46</v>
      </c>
      <c r="H328" s="10">
        <v>58.605437004137713</v>
      </c>
      <c r="I328" s="10">
        <v>61.666666666666671</v>
      </c>
      <c r="J328" s="10">
        <v>88.936000000000007</v>
      </c>
      <c r="K328" s="10">
        <v>72.449282280828072</v>
      </c>
      <c r="L328" s="6" t="s">
        <v>68</v>
      </c>
      <c r="M328" s="6" t="s">
        <v>298</v>
      </c>
      <c r="N328" s="11" t="str">
        <f>VLOOKUP(Séparateur[[#This Row],[Puits]],Puits!$A$1:$F$267,3,FALSE)</f>
        <v>Centre</v>
      </c>
      <c r="O328" s="34">
        <f>(Séparateur[[#This Row],[Qw (sm3/j)]]/(Séparateur[[#This Row],[Qg (Msm3/j)]]*1000))*1000000</f>
        <v>1.6442547594026351</v>
      </c>
      <c r="P328" s="34">
        <f>(Séparateur[[#This Row],[Qc (sm3/j)]]/(Séparateur[[#This Row],[Qg (Msm3/j)]]*1000))*1000000</f>
        <v>20.874886510676934</v>
      </c>
      <c r="Q328" s="46">
        <v>0.74399999999999999</v>
      </c>
      <c r="R328" s="46">
        <v>0.69</v>
      </c>
      <c r="S328" s="34">
        <v>0</v>
      </c>
    </row>
    <row r="329" spans="1:19" x14ac:dyDescent="0.25">
      <c r="A329" s="6">
        <v>101</v>
      </c>
      <c r="B329" s="7" t="s">
        <v>198</v>
      </c>
      <c r="C329" s="8">
        <v>45434</v>
      </c>
      <c r="D329" s="7">
        <v>2100</v>
      </c>
      <c r="E329" s="42">
        <v>556.476</v>
      </c>
      <c r="F329" s="10">
        <v>5</v>
      </c>
      <c r="G329" s="10">
        <v>0.77</v>
      </c>
      <c r="H329" s="10">
        <v>40.541172892274091</v>
      </c>
      <c r="I329" s="10">
        <v>56.666666666666671</v>
      </c>
      <c r="J329" s="10">
        <v>80.701999999999998</v>
      </c>
      <c r="K329" s="10">
        <v>50.085309624903232</v>
      </c>
      <c r="L329" s="6" t="s">
        <v>67</v>
      </c>
      <c r="M329" s="6" t="s">
        <v>298</v>
      </c>
      <c r="N329" s="11" t="str">
        <f>VLOOKUP(Séparateur[[#This Row],[Puits]],Puits!$A$1:$F$267,3,FALSE)</f>
        <v>Centre</v>
      </c>
      <c r="O329" s="34">
        <f>(Séparateur[[#This Row],[Qw (sm3/j)]]/(Séparateur[[#This Row],[Qg (Msm3/j)]]*1000))*1000000</f>
        <v>1.3837074734579748</v>
      </c>
      <c r="P329" s="34">
        <f>(Séparateur[[#This Row],[Qc (sm3/j)]]/(Séparateur[[#This Row],[Qg (Msm3/j)]]*1000))*1000000</f>
        <v>8.9851134640128247</v>
      </c>
      <c r="Q329" s="46">
        <v>0.78800000000000003</v>
      </c>
      <c r="R329" s="46">
        <v>0.69599999999999995</v>
      </c>
      <c r="S329" s="34">
        <v>10</v>
      </c>
    </row>
    <row r="330" spans="1:19" x14ac:dyDescent="0.25">
      <c r="A330" s="6">
        <v>101</v>
      </c>
      <c r="B330" s="7" t="s">
        <v>198</v>
      </c>
      <c r="C330" s="8">
        <v>45434</v>
      </c>
      <c r="D330" s="7">
        <v>2100</v>
      </c>
      <c r="E330" s="42">
        <v>408.178</v>
      </c>
      <c r="F330" s="10">
        <v>4.22</v>
      </c>
      <c r="G330" s="10">
        <v>0.55000000000000004</v>
      </c>
      <c r="H330" s="10">
        <v>50.262780677666349</v>
      </c>
      <c r="I330" s="10">
        <v>58.333333333333336</v>
      </c>
      <c r="J330" s="10">
        <v>83.343000000000004</v>
      </c>
      <c r="K330" s="10">
        <v>59.92936829984766</v>
      </c>
      <c r="L330" s="6" t="s">
        <v>68</v>
      </c>
      <c r="M330" s="6" t="s">
        <v>298</v>
      </c>
      <c r="N330" s="11" t="str">
        <f>VLOOKUP(Séparateur[[#This Row],[Puits]],Puits!$A$1:$F$267,3,FALSE)</f>
        <v>Centre</v>
      </c>
      <c r="O330" s="34">
        <f>(Séparateur[[#This Row],[Qw (sm3/j)]]/(Séparateur[[#This Row],[Qg (Msm3/j)]]*1000))*1000000</f>
        <v>1.347451357006012</v>
      </c>
      <c r="P330" s="34">
        <f>(Séparateur[[#This Row],[Qc (sm3/j)]]/(Séparateur[[#This Row],[Qg (Msm3/j)]]*1000))*1000000</f>
        <v>10.338626775573401</v>
      </c>
      <c r="Q330" s="46">
        <v>0.79</v>
      </c>
      <c r="R330" s="46">
        <v>0.7</v>
      </c>
      <c r="S330" s="34">
        <v>10</v>
      </c>
    </row>
    <row r="331" spans="1:19" x14ac:dyDescent="0.25">
      <c r="A331" s="6">
        <v>101</v>
      </c>
      <c r="B331" s="7" t="s">
        <v>198</v>
      </c>
      <c r="C331" s="8">
        <v>45434</v>
      </c>
      <c r="D331" s="7">
        <v>2100</v>
      </c>
      <c r="E331" s="42">
        <v>273.12700000000001</v>
      </c>
      <c r="F331" s="10">
        <v>2.88</v>
      </c>
      <c r="G331" s="10">
        <v>0.41</v>
      </c>
      <c r="H331" s="10">
        <v>56.261219523972208</v>
      </c>
      <c r="I331" s="10">
        <v>56.666666666666671</v>
      </c>
      <c r="J331" s="10">
        <v>84.864999999999995</v>
      </c>
      <c r="K331" s="10">
        <v>66.131891962073809</v>
      </c>
      <c r="L331" s="6" t="s">
        <v>68</v>
      </c>
      <c r="M331" s="6" t="s">
        <v>298</v>
      </c>
      <c r="N331" s="11" t="str">
        <f>VLOOKUP(Séparateur[[#This Row],[Puits]],Puits!$A$1:$F$267,3,FALSE)</f>
        <v>Centre</v>
      </c>
      <c r="O331" s="34">
        <f>(Séparateur[[#This Row],[Qw (sm3/j)]]/(Séparateur[[#This Row],[Qg (Msm3/j)]]*1000))*1000000</f>
        <v>1.5011331724802013</v>
      </c>
      <c r="P331" s="34">
        <f>(Séparateur[[#This Row],[Qc (sm3/j)]]/(Séparateur[[#This Row],[Qg (Msm3/j)]]*1000))*1000000</f>
        <v>10.544545211568245</v>
      </c>
      <c r="Q331" s="46">
        <v>0.79200000000000004</v>
      </c>
      <c r="R331" s="46">
        <v>0.70199999999999996</v>
      </c>
      <c r="S331" s="34">
        <v>10</v>
      </c>
    </row>
    <row r="332" spans="1:19" x14ac:dyDescent="0.25">
      <c r="A332" s="6">
        <v>102</v>
      </c>
      <c r="B332" s="7" t="s">
        <v>147</v>
      </c>
      <c r="C332" s="8">
        <v>45435</v>
      </c>
      <c r="D332" s="7">
        <v>2130</v>
      </c>
      <c r="E332" s="42">
        <v>945.10199999999998</v>
      </c>
      <c r="F332" s="10">
        <v>12.16</v>
      </c>
      <c r="G332" s="10">
        <v>0.65</v>
      </c>
      <c r="H332" s="10">
        <v>48.814881645799417</v>
      </c>
      <c r="I332" s="10">
        <v>67.222222222222229</v>
      </c>
      <c r="J332" s="10">
        <v>88.736000000000004</v>
      </c>
      <c r="K332" s="10">
        <v>63.881443181114925</v>
      </c>
      <c r="L332" s="6" t="s">
        <v>67</v>
      </c>
      <c r="M332" s="6" t="s">
        <v>298</v>
      </c>
      <c r="N332" s="11" t="str">
        <f>VLOOKUP(Séparateur[[#This Row],[Puits]],Puits!$A$1:$F$267,3,FALSE)</f>
        <v>Centre</v>
      </c>
      <c r="O332" s="34">
        <f>(Séparateur[[#This Row],[Qw (sm3/j)]]/(Séparateur[[#This Row],[Qg (Msm3/j)]]*1000))*1000000</f>
        <v>0.68775645380075379</v>
      </c>
      <c r="P332" s="34">
        <f>(Séparateur[[#This Row],[Qc (sm3/j)]]/(Séparateur[[#This Row],[Qg (Msm3/j)]]*1000))*1000000</f>
        <v>12.8663361203341</v>
      </c>
      <c r="Q332" s="46">
        <v>0.755</v>
      </c>
      <c r="R332" s="46">
        <v>0.69599999999999995</v>
      </c>
      <c r="S332" s="34">
        <v>20</v>
      </c>
    </row>
    <row r="333" spans="1:19" x14ac:dyDescent="0.25">
      <c r="A333" s="6">
        <v>102</v>
      </c>
      <c r="B333" s="7" t="s">
        <v>147</v>
      </c>
      <c r="C333" s="8">
        <v>45436</v>
      </c>
      <c r="D333" s="7">
        <v>2130</v>
      </c>
      <c r="E333" s="42">
        <v>745.51199999999994</v>
      </c>
      <c r="F333" s="10">
        <v>11.94</v>
      </c>
      <c r="G333" s="10">
        <v>0.52</v>
      </c>
      <c r="H333" s="10">
        <v>52.606998157831853</v>
      </c>
      <c r="I333" s="10">
        <v>66.666666666666671</v>
      </c>
      <c r="J333" s="10">
        <v>89.186999999999998</v>
      </c>
      <c r="K333" s="10">
        <v>65.654361071849507</v>
      </c>
      <c r="L333" s="6" t="s">
        <v>67</v>
      </c>
      <c r="M333" s="6" t="s">
        <v>298</v>
      </c>
      <c r="N333" s="11" t="str">
        <f>VLOOKUP(Séparateur[[#This Row],[Puits]],Puits!$A$1:$F$267,3,FALSE)</f>
        <v>Centre</v>
      </c>
      <c r="O333" s="34">
        <f>(Séparateur[[#This Row],[Qw (sm3/j)]]/(Séparateur[[#This Row],[Qg (Msm3/j)]]*1000))*1000000</f>
        <v>0.6975072165169709</v>
      </c>
      <c r="P333" s="34">
        <f>(Séparateur[[#This Row],[Qc (sm3/j)]]/(Séparateur[[#This Row],[Qg (Msm3/j)]]*1000))*1000000</f>
        <v>16.015838779255063</v>
      </c>
      <c r="Q333" s="46">
        <v>0.75600000000000001</v>
      </c>
      <c r="R333" s="46">
        <v>0.69399999999999995</v>
      </c>
      <c r="S333" s="34">
        <v>20</v>
      </c>
    </row>
    <row r="334" spans="1:19" x14ac:dyDescent="0.25">
      <c r="A334" s="6">
        <v>102</v>
      </c>
      <c r="B334" s="7" t="s">
        <v>147</v>
      </c>
      <c r="C334" s="8">
        <v>45436</v>
      </c>
      <c r="D334" s="7">
        <v>2130</v>
      </c>
      <c r="E334" s="42">
        <v>529.83199999999999</v>
      </c>
      <c r="F334" s="10">
        <v>10.16</v>
      </c>
      <c r="G334" s="10">
        <v>0.38</v>
      </c>
      <c r="H334" s="10">
        <v>55.227005929781541</v>
      </c>
      <c r="I334" s="10">
        <v>67.777777777777786</v>
      </c>
      <c r="J334" s="10">
        <v>89.512</v>
      </c>
      <c r="K334" s="10">
        <v>66.99966611517273</v>
      </c>
      <c r="L334" s="6" t="s">
        <v>67</v>
      </c>
      <c r="M334" s="6" t="s">
        <v>298</v>
      </c>
      <c r="N334" s="11" t="str">
        <f>VLOOKUP(Séparateur[[#This Row],[Puits]],Puits!$A$1:$F$267,3,FALSE)</f>
        <v>Centre</v>
      </c>
      <c r="O334" s="34">
        <f>(Séparateur[[#This Row],[Qw (sm3/j)]]/(Séparateur[[#This Row],[Qg (Msm3/j)]]*1000))*1000000</f>
        <v>0.71720847362937679</v>
      </c>
      <c r="P334" s="34">
        <f>(Séparateur[[#This Row],[Qc (sm3/j)]]/(Séparateur[[#This Row],[Qg (Msm3/j)]]*1000))*1000000</f>
        <v>19.175889715985445</v>
      </c>
      <c r="Q334" s="46">
        <v>0.75800000000000001</v>
      </c>
      <c r="R334" s="46">
        <v>0.69599999999999995</v>
      </c>
      <c r="S334" s="34">
        <v>20</v>
      </c>
    </row>
    <row r="335" spans="1:19" x14ac:dyDescent="0.25">
      <c r="A335" s="6">
        <v>103</v>
      </c>
      <c r="B335" s="7" t="s">
        <v>163</v>
      </c>
      <c r="C335" s="8">
        <v>45438</v>
      </c>
      <c r="D335" s="7">
        <v>2100</v>
      </c>
      <c r="E335" s="42">
        <v>768.85400000000004</v>
      </c>
      <c r="F335" s="10">
        <v>5.26</v>
      </c>
      <c r="G335" s="10">
        <v>0.1</v>
      </c>
      <c r="H335" s="10">
        <v>52.469103011939765</v>
      </c>
      <c r="I335" s="10">
        <v>65.555555555555557</v>
      </c>
      <c r="J335" s="10">
        <v>90.492999999999995</v>
      </c>
      <c r="K335" s="10">
        <v>64.881734569416139</v>
      </c>
      <c r="L335" s="6" t="s">
        <v>68</v>
      </c>
      <c r="M335" s="6" t="s">
        <v>298</v>
      </c>
      <c r="N335" s="11" t="str">
        <f>VLOOKUP(Séparateur[[#This Row],[Puits]],Puits!$A$1:$F$267,3,FALSE)</f>
        <v>Centre</v>
      </c>
      <c r="O335" s="34">
        <f>(Séparateur[[#This Row],[Qw (sm3/j)]]/(Séparateur[[#This Row],[Qg (Msm3/j)]]*1000))*1000000</f>
        <v>0.13006370520280833</v>
      </c>
      <c r="P335" s="34">
        <f>(Séparateur[[#This Row],[Qc (sm3/j)]]/(Séparateur[[#This Row],[Qg (Msm3/j)]]*1000))*1000000</f>
        <v>6.8413508936677188</v>
      </c>
      <c r="Q335" s="46">
        <v>0.79100000000000004</v>
      </c>
      <c r="R335" s="46">
        <v>0.67200000000000004</v>
      </c>
      <c r="S335" s="34">
        <v>5</v>
      </c>
    </row>
    <row r="336" spans="1:19" x14ac:dyDescent="0.25">
      <c r="A336" s="6">
        <v>103</v>
      </c>
      <c r="B336" s="7" t="s">
        <v>163</v>
      </c>
      <c r="C336" s="8">
        <v>45438</v>
      </c>
      <c r="D336" s="7">
        <v>2100</v>
      </c>
      <c r="E336" s="42">
        <v>845.53399999999999</v>
      </c>
      <c r="F336" s="10">
        <v>6.1</v>
      </c>
      <c r="G336" s="10">
        <v>0.65</v>
      </c>
      <c r="H336" s="10">
        <v>49.435409802313814</v>
      </c>
      <c r="I336" s="10">
        <v>67.222222222222229</v>
      </c>
      <c r="J336" s="10">
        <v>90.128</v>
      </c>
      <c r="K336" s="10">
        <v>63.357096888860255</v>
      </c>
      <c r="L336" s="6" t="s">
        <v>68</v>
      </c>
      <c r="M336" s="6" t="s">
        <v>298</v>
      </c>
      <c r="N336" s="11" t="str">
        <f>VLOOKUP(Séparateur[[#This Row],[Puits]],Puits!$A$1:$F$267,3,FALSE)</f>
        <v>Centre</v>
      </c>
      <c r="O336" s="34">
        <f>(Séparateur[[#This Row],[Qw (sm3/j)]]/(Séparateur[[#This Row],[Qg (Msm3/j)]]*1000))*1000000</f>
        <v>0.76874495880709715</v>
      </c>
      <c r="P336" s="34">
        <f>(Séparateur[[#This Row],[Qc (sm3/j)]]/(Séparateur[[#This Row],[Qg (Msm3/j)]]*1000))*1000000</f>
        <v>7.2143757672666027</v>
      </c>
      <c r="Q336" s="46">
        <v>0.79</v>
      </c>
      <c r="R336" s="46">
        <v>0.67200000000000004</v>
      </c>
      <c r="S336" s="34">
        <v>5</v>
      </c>
    </row>
    <row r="337" spans="1:19" x14ac:dyDescent="0.25">
      <c r="A337" s="6">
        <v>103</v>
      </c>
      <c r="B337" s="7" t="s">
        <v>163</v>
      </c>
      <c r="C337" s="8">
        <v>45438</v>
      </c>
      <c r="D337" s="7">
        <v>2100</v>
      </c>
      <c r="E337" s="42">
        <v>1043.7829999999999</v>
      </c>
      <c r="F337" s="10">
        <v>7.7</v>
      </c>
      <c r="G337" s="10">
        <v>0.77</v>
      </c>
      <c r="H337" s="10">
        <v>46.19487387384973</v>
      </c>
      <c r="I337" s="10">
        <v>66.666666666666671</v>
      </c>
      <c r="J337" s="10">
        <v>89.658000000000001</v>
      </c>
      <c r="K337" s="10">
        <v>61.364580978292523</v>
      </c>
      <c r="L337" s="6" t="s">
        <v>67</v>
      </c>
      <c r="M337" s="6" t="s">
        <v>298</v>
      </c>
      <c r="N337" s="11" t="str">
        <f>VLOOKUP(Séparateur[[#This Row],[Puits]],Puits!$A$1:$F$267,3,FALSE)</f>
        <v>Centre</v>
      </c>
      <c r="O337" s="34">
        <f>(Séparateur[[#This Row],[Qw (sm3/j)]]/(Séparateur[[#This Row],[Qg (Msm3/j)]]*1000))*1000000</f>
        <v>0.73770122717078179</v>
      </c>
      <c r="P337" s="34">
        <f>(Séparateur[[#This Row],[Qc (sm3/j)]]/(Séparateur[[#This Row],[Qg (Msm3/j)]]*1000))*1000000</f>
        <v>7.3770122717078177</v>
      </c>
      <c r="Q337" s="46">
        <v>0.78800000000000003</v>
      </c>
      <c r="R337" s="46">
        <v>0.67</v>
      </c>
      <c r="S337" s="34">
        <v>5</v>
      </c>
    </row>
    <row r="338" spans="1:19" x14ac:dyDescent="0.25">
      <c r="A338" s="6">
        <v>104</v>
      </c>
      <c r="B338" s="7" t="s">
        <v>187</v>
      </c>
      <c r="C338" s="8">
        <v>45439</v>
      </c>
      <c r="D338" s="7">
        <v>2120</v>
      </c>
      <c r="E338" s="42">
        <v>679.26</v>
      </c>
      <c r="F338" s="10">
        <v>4.4400000000000004</v>
      </c>
      <c r="G338" s="10">
        <v>0.63</v>
      </c>
      <c r="H338" s="10">
        <v>38.265902985054623</v>
      </c>
      <c r="I338" s="10">
        <v>65</v>
      </c>
      <c r="J338" s="10">
        <v>89.977000000000004</v>
      </c>
      <c r="K338" s="10">
        <v>65.085957280482319</v>
      </c>
      <c r="L338" s="6" t="s">
        <v>67</v>
      </c>
      <c r="M338" s="6" t="s">
        <v>298</v>
      </c>
      <c r="N338" s="11" t="str">
        <f>VLOOKUP(Séparateur[[#This Row],[Puits]],Puits!$A$1:$F$267,3,FALSE)</f>
        <v>Centre</v>
      </c>
      <c r="O338" s="34">
        <f>(Séparateur[[#This Row],[Qw (sm3/j)]]/(Séparateur[[#This Row],[Qg (Msm3/j)]]*1000))*1000000</f>
        <v>0.92747990460206697</v>
      </c>
      <c r="P338" s="34">
        <f>(Séparateur[[#This Row],[Qc (sm3/j)]]/(Séparateur[[#This Row],[Qg (Msm3/j)]]*1000))*1000000</f>
        <v>6.5365250419574243</v>
      </c>
      <c r="Q338" s="46">
        <v>0.77800000000000002</v>
      </c>
      <c r="R338" s="46">
        <v>0.68</v>
      </c>
      <c r="S338" s="34">
        <v>5</v>
      </c>
    </row>
    <row r="339" spans="1:19" x14ac:dyDescent="0.25">
      <c r="A339" s="6">
        <v>104</v>
      </c>
      <c r="B339" s="7" t="s">
        <v>187</v>
      </c>
      <c r="C339" s="8">
        <v>45439</v>
      </c>
      <c r="D339" s="7">
        <v>2120</v>
      </c>
      <c r="E339" s="42">
        <v>479.94200000000001</v>
      </c>
      <c r="F339" s="10">
        <v>4.01</v>
      </c>
      <c r="G339" s="10">
        <v>0.57999999999999996</v>
      </c>
      <c r="H339" s="10">
        <v>49.090671937583593</v>
      </c>
      <c r="I339" s="10">
        <v>66.111111111111114</v>
      </c>
      <c r="J339" s="10">
        <v>90.287000000000006</v>
      </c>
      <c r="K339" s="10">
        <v>66.518618898728164</v>
      </c>
      <c r="L339" s="6" t="s">
        <v>68</v>
      </c>
      <c r="M339" s="6" t="s">
        <v>298</v>
      </c>
      <c r="N339" s="11" t="str">
        <f>VLOOKUP(Séparateur[[#This Row],[Puits]],Puits!$A$1:$F$267,3,FALSE)</f>
        <v>Centre</v>
      </c>
      <c r="O339" s="34">
        <f>(Séparateur[[#This Row],[Qw (sm3/j)]]/(Séparateur[[#This Row],[Qg (Msm3/j)]]*1000))*1000000</f>
        <v>1.2084793579224156</v>
      </c>
      <c r="P339" s="34">
        <f>(Séparateur[[#This Row],[Qc (sm3/j)]]/(Séparateur[[#This Row],[Qg (Msm3/j)]]*1000))*1000000</f>
        <v>8.3551762504635967</v>
      </c>
      <c r="Q339" s="46">
        <v>0.78</v>
      </c>
      <c r="R339" s="46">
        <v>0.68200000000000005</v>
      </c>
      <c r="S339" s="34">
        <v>5</v>
      </c>
    </row>
    <row r="340" spans="1:19" x14ac:dyDescent="0.25">
      <c r="A340" s="6">
        <v>104</v>
      </c>
      <c r="B340" s="7" t="s">
        <v>187</v>
      </c>
      <c r="C340" s="8">
        <v>45439</v>
      </c>
      <c r="D340" s="7">
        <v>2120</v>
      </c>
      <c r="E340" s="42">
        <v>347.42099999999999</v>
      </c>
      <c r="F340" s="10">
        <v>3.29</v>
      </c>
      <c r="G340" s="10">
        <v>0.53</v>
      </c>
      <c r="H340" s="10">
        <v>53.641211752022521</v>
      </c>
      <c r="I340" s="10">
        <v>65.555555555555557</v>
      </c>
      <c r="J340" s="10">
        <v>90.441000000000003</v>
      </c>
      <c r="K340" s="10">
        <v>67.201406713612855</v>
      </c>
      <c r="L340" s="6" t="s">
        <v>68</v>
      </c>
      <c r="M340" s="6" t="s">
        <v>298</v>
      </c>
      <c r="N340" s="11" t="str">
        <f>VLOOKUP(Séparateur[[#This Row],[Puits]],Puits!$A$1:$F$267,3,FALSE)</f>
        <v>Centre</v>
      </c>
      <c r="O340" s="34">
        <f>(Séparateur[[#This Row],[Qw (sm3/j)]]/(Séparateur[[#This Row],[Qg (Msm3/j)]]*1000))*1000000</f>
        <v>1.5255266664939657</v>
      </c>
      <c r="P340" s="34">
        <f>(Séparateur[[#This Row],[Qc (sm3/j)]]/(Séparateur[[#This Row],[Qg (Msm3/j)]]*1000))*1000000</f>
        <v>9.4697787410663157</v>
      </c>
      <c r="Q340" s="46">
        <v>0.78200000000000003</v>
      </c>
      <c r="R340" s="46">
        <v>0.68400000000000005</v>
      </c>
      <c r="S340" s="34">
        <v>5</v>
      </c>
    </row>
    <row r="341" spans="1:19" x14ac:dyDescent="0.25">
      <c r="A341" s="6">
        <v>105</v>
      </c>
      <c r="B341" s="7" t="s">
        <v>114</v>
      </c>
      <c r="C341" s="8">
        <v>45440</v>
      </c>
      <c r="D341" s="7">
        <v>2030</v>
      </c>
      <c r="E341" s="42">
        <v>725.87699999999995</v>
      </c>
      <c r="F341" s="10">
        <v>4.2300000000000004</v>
      </c>
      <c r="G341" s="10">
        <v>0.54</v>
      </c>
      <c r="H341" s="10">
        <v>45.712240863227414</v>
      </c>
      <c r="I341" s="10">
        <v>61.666666666666671</v>
      </c>
      <c r="J341" s="10">
        <v>80.73</v>
      </c>
      <c r="K341" s="10">
        <v>56.674008643200175</v>
      </c>
      <c r="L341" s="6" t="s">
        <v>67</v>
      </c>
      <c r="M341" s="6" t="s">
        <v>297</v>
      </c>
      <c r="N341" s="11" t="str">
        <f>VLOOKUP(Séparateur[[#This Row],[Puits]],Puits!$A$1:$F$267,3,FALSE)</f>
        <v>Sud</v>
      </c>
      <c r="O341" s="34">
        <f>(Séparateur[[#This Row],[Qw (sm3/j)]]/(Séparateur[[#This Row],[Qg (Msm3/j)]]*1000))*1000000</f>
        <v>0.7439276902285098</v>
      </c>
      <c r="P341" s="34">
        <f>(Séparateur[[#This Row],[Qc (sm3/j)]]/(Séparateur[[#This Row],[Qg (Msm3/j)]]*1000))*1000000</f>
        <v>5.8274335734566609</v>
      </c>
      <c r="Q341" s="46">
        <v>0.77300000000000002</v>
      </c>
      <c r="R341" s="46">
        <v>0.68600000000000005</v>
      </c>
      <c r="S341" s="34">
        <v>5</v>
      </c>
    </row>
    <row r="342" spans="1:19" x14ac:dyDescent="0.25">
      <c r="A342" s="6">
        <v>105</v>
      </c>
      <c r="B342" s="7" t="s">
        <v>114</v>
      </c>
      <c r="C342" s="8">
        <v>45441</v>
      </c>
      <c r="D342" s="7">
        <v>2030</v>
      </c>
      <c r="E342" s="42">
        <v>542.59799999999996</v>
      </c>
      <c r="F342" s="10">
        <v>2.23</v>
      </c>
      <c r="G342" s="10">
        <v>0.24</v>
      </c>
      <c r="H342" s="10">
        <v>48.814881645799417</v>
      </c>
      <c r="I342" s="10">
        <v>61.111111111111114</v>
      </c>
      <c r="J342" s="10">
        <v>81.096999999999994</v>
      </c>
      <c r="K342" s="10">
        <v>58.509393035023876</v>
      </c>
      <c r="L342" s="6" t="s">
        <v>68</v>
      </c>
      <c r="M342" s="6" t="s">
        <v>297</v>
      </c>
      <c r="N342" s="11" t="str">
        <f>VLOOKUP(Séparateur[[#This Row],[Puits]],Puits!$A$1:$F$267,3,FALSE)</f>
        <v>Sud</v>
      </c>
      <c r="O342" s="34">
        <f>(Séparateur[[#This Row],[Qw (sm3/j)]]/(Séparateur[[#This Row],[Qg (Msm3/j)]]*1000))*1000000</f>
        <v>0.44231641104464076</v>
      </c>
      <c r="P342" s="34">
        <f>(Séparateur[[#This Row],[Qc (sm3/j)]]/(Séparateur[[#This Row],[Qg (Msm3/j)]]*1000))*1000000</f>
        <v>4.1098566526231206</v>
      </c>
      <c r="Q342" s="46">
        <v>0.77500000000000002</v>
      </c>
      <c r="R342" s="46">
        <v>0.68799999999999994</v>
      </c>
      <c r="S342" s="34">
        <v>5</v>
      </c>
    </row>
    <row r="343" spans="1:19" x14ac:dyDescent="0.25">
      <c r="A343" s="6">
        <v>105</v>
      </c>
      <c r="B343" s="7" t="s">
        <v>114</v>
      </c>
      <c r="C343" s="8">
        <v>45441</v>
      </c>
      <c r="D343" s="7">
        <v>2030</v>
      </c>
      <c r="E343" s="42">
        <v>351.661</v>
      </c>
      <c r="F343" s="10">
        <v>1.75</v>
      </c>
      <c r="G343" s="10">
        <v>0.05</v>
      </c>
      <c r="H343" s="10">
        <v>51.090151553018877</v>
      </c>
      <c r="I343" s="10">
        <v>61.111111111111114</v>
      </c>
      <c r="J343" s="10">
        <v>81.343999999999994</v>
      </c>
      <c r="K343" s="10">
        <v>60.05099181852448</v>
      </c>
      <c r="L343" s="6" t="s">
        <v>68</v>
      </c>
      <c r="M343" s="6" t="s">
        <v>297</v>
      </c>
      <c r="N343" s="11" t="str">
        <f>VLOOKUP(Séparateur[[#This Row],[Puits]],Puits!$A$1:$F$267,3,FALSE)</f>
        <v>Sud</v>
      </c>
      <c r="O343" s="34">
        <f>(Séparateur[[#This Row],[Qw (sm3/j)]]/(Séparateur[[#This Row],[Qg (Msm3/j)]]*1000))*1000000</f>
        <v>0.142182385877308</v>
      </c>
      <c r="P343" s="34">
        <f>(Séparateur[[#This Row],[Qc (sm3/j)]]/(Séparateur[[#This Row],[Qg (Msm3/j)]]*1000))*1000000</f>
        <v>4.9763835057057797</v>
      </c>
      <c r="Q343" s="46">
        <v>0.77600000000000002</v>
      </c>
      <c r="R343" s="46">
        <v>0.69</v>
      </c>
      <c r="S343" s="34">
        <v>5</v>
      </c>
    </row>
    <row r="344" spans="1:19" x14ac:dyDescent="0.25">
      <c r="A344" s="6">
        <v>106</v>
      </c>
      <c r="B344" s="7" t="s">
        <v>238</v>
      </c>
      <c r="C344" s="8">
        <v>45442</v>
      </c>
      <c r="D344" s="7">
        <v>2110</v>
      </c>
      <c r="E344" s="42">
        <v>929.88</v>
      </c>
      <c r="F344" s="10">
        <v>8.34</v>
      </c>
      <c r="G344" s="10">
        <v>0.62</v>
      </c>
      <c r="H344" s="10">
        <v>41.989071924141022</v>
      </c>
      <c r="I344" s="10">
        <v>67.222222222222229</v>
      </c>
      <c r="J344" s="10">
        <v>87.494</v>
      </c>
      <c r="K344" s="10">
        <v>55.359798955275629</v>
      </c>
      <c r="L344" s="6" t="s">
        <v>67</v>
      </c>
      <c r="M344" s="6" t="s">
        <v>298</v>
      </c>
      <c r="N344" s="11" t="str">
        <f>VLOOKUP(Séparateur[[#This Row],[Puits]],Puits!$A$1:$F$267,3,FALSE)</f>
        <v>Centre</v>
      </c>
      <c r="O344" s="34">
        <f>(Séparateur[[#This Row],[Qw (sm3/j)]]/(Séparateur[[#This Row],[Qg (Msm3/j)]]*1000))*1000000</f>
        <v>0.6667526992730245</v>
      </c>
      <c r="P344" s="34">
        <f>(Séparateur[[#This Row],[Qc (sm3/j)]]/(Séparateur[[#This Row],[Qg (Msm3/j)]]*1000))*1000000</f>
        <v>8.9688992128016523</v>
      </c>
      <c r="Q344" s="46">
        <v>0.77400000000000002</v>
      </c>
      <c r="R344" s="46">
        <v>0.68799999999999994</v>
      </c>
      <c r="S344" s="34">
        <v>8</v>
      </c>
    </row>
    <row r="345" spans="1:19" x14ac:dyDescent="0.25">
      <c r="A345" s="6">
        <v>106</v>
      </c>
      <c r="B345" s="7" t="s">
        <v>238</v>
      </c>
      <c r="C345" s="8">
        <v>45442</v>
      </c>
      <c r="D345" s="7">
        <v>2110</v>
      </c>
      <c r="E345" s="42">
        <v>743.07799999999997</v>
      </c>
      <c r="F345" s="10">
        <v>7.1</v>
      </c>
      <c r="G345" s="10">
        <v>0.43</v>
      </c>
      <c r="H345" s="10">
        <v>46.470664165633906</v>
      </c>
      <c r="I345" s="10">
        <v>68.333333333333343</v>
      </c>
      <c r="J345" s="10">
        <v>88.254000000000005</v>
      </c>
      <c r="K345" s="10">
        <v>58.214435317960692</v>
      </c>
      <c r="L345" s="6" t="s">
        <v>68</v>
      </c>
      <c r="M345" s="6" t="s">
        <v>298</v>
      </c>
      <c r="N345" s="11" t="str">
        <f>VLOOKUP(Séparateur[[#This Row],[Puits]],Puits!$A$1:$F$267,3,FALSE)</f>
        <v>Centre</v>
      </c>
      <c r="O345" s="34">
        <f>(Séparateur[[#This Row],[Qw (sm3/j)]]/(Séparateur[[#This Row],[Qg (Msm3/j)]]*1000))*1000000</f>
        <v>0.5786741095820358</v>
      </c>
      <c r="P345" s="34">
        <f>(Séparateur[[#This Row],[Qc (sm3/j)]]/(Séparateur[[#This Row],[Qg (Msm3/j)]]*1000))*1000000</f>
        <v>9.5548515768196598</v>
      </c>
      <c r="Q345" s="46">
        <v>0.77600000000000002</v>
      </c>
      <c r="R345" s="46">
        <v>0.69</v>
      </c>
      <c r="S345" s="34">
        <v>8</v>
      </c>
    </row>
    <row r="346" spans="1:19" x14ac:dyDescent="0.25">
      <c r="A346" s="6">
        <v>106</v>
      </c>
      <c r="B346" s="7" t="s">
        <v>238</v>
      </c>
      <c r="C346" s="8">
        <v>45442</v>
      </c>
      <c r="D346" s="7">
        <v>2110</v>
      </c>
      <c r="E346" s="42">
        <v>531.63699999999994</v>
      </c>
      <c r="F346" s="10">
        <v>6.41</v>
      </c>
      <c r="G346" s="10">
        <v>0.34</v>
      </c>
      <c r="H346" s="10">
        <v>50.469623396504481</v>
      </c>
      <c r="I346" s="10">
        <v>68.333333333333343</v>
      </c>
      <c r="J346" s="10">
        <v>88.96</v>
      </c>
      <c r="K346" s="10">
        <v>60.976475090179235</v>
      </c>
      <c r="L346" s="6" t="s">
        <v>68</v>
      </c>
      <c r="M346" s="6" t="s">
        <v>298</v>
      </c>
      <c r="N346" s="11" t="str">
        <f>VLOOKUP(Séparateur[[#This Row],[Puits]],Puits!$A$1:$F$267,3,FALSE)</f>
        <v>Centre</v>
      </c>
      <c r="O346" s="34">
        <f>(Séparateur[[#This Row],[Qw (sm3/j)]]/(Séparateur[[#This Row],[Qg (Msm3/j)]]*1000))*1000000</f>
        <v>0.63953411820471495</v>
      </c>
      <c r="P346" s="34">
        <f>(Séparateur[[#This Row],[Qc (sm3/j)]]/(Séparateur[[#This Row],[Qg (Msm3/j)]]*1000))*1000000</f>
        <v>12.057099110859479</v>
      </c>
      <c r="Q346" s="46">
        <v>0.77800000000000002</v>
      </c>
      <c r="R346" s="46">
        <v>0.69399999999999995</v>
      </c>
      <c r="S346" s="34">
        <v>8</v>
      </c>
    </row>
    <row r="347" spans="1:19" x14ac:dyDescent="0.25">
      <c r="A347" s="6">
        <v>107</v>
      </c>
      <c r="B347" s="7" t="s">
        <v>162</v>
      </c>
      <c r="C347" s="8">
        <v>45443</v>
      </c>
      <c r="D347" s="7">
        <v>2120</v>
      </c>
      <c r="E347" s="42">
        <v>640.44799999999998</v>
      </c>
      <c r="F347" s="10">
        <v>2.63</v>
      </c>
      <c r="G347" s="10">
        <v>0.56000000000000005</v>
      </c>
      <c r="H347" s="10">
        <v>41.368543767626619</v>
      </c>
      <c r="I347" s="10">
        <v>65</v>
      </c>
      <c r="J347" s="10">
        <v>85.363</v>
      </c>
      <c r="K347" s="10">
        <v>53.133481824847848</v>
      </c>
      <c r="L347" s="6" t="s">
        <v>67</v>
      </c>
      <c r="M347" s="6" t="s">
        <v>298</v>
      </c>
      <c r="N347" s="11" t="str">
        <f>VLOOKUP(Séparateur[[#This Row],[Puits]],Puits!$A$1:$F$267,3,FALSE)</f>
        <v>Centre</v>
      </c>
      <c r="O347" s="34">
        <f>(Séparateur[[#This Row],[Qw (sm3/j)]]/(Séparateur[[#This Row],[Qg (Msm3/j)]]*1000))*1000000</f>
        <v>0.87438792845008506</v>
      </c>
      <c r="P347" s="34">
        <f>(Séparateur[[#This Row],[Qc (sm3/j)]]/(Séparateur[[#This Row],[Qg (Msm3/j)]]*1000))*1000000</f>
        <v>4.1065004496852202</v>
      </c>
      <c r="Q347" s="46">
        <v>0.78800000000000003</v>
      </c>
      <c r="R347" s="46">
        <v>0.68799999999999994</v>
      </c>
      <c r="S347" s="34">
        <v>0</v>
      </c>
    </row>
    <row r="348" spans="1:19" x14ac:dyDescent="0.25">
      <c r="A348" s="6">
        <v>107</v>
      </c>
      <c r="B348" s="7" t="s">
        <v>162</v>
      </c>
      <c r="C348" s="8">
        <v>45443</v>
      </c>
      <c r="D348" s="7">
        <v>2120</v>
      </c>
      <c r="E348" s="42">
        <v>464.04300000000001</v>
      </c>
      <c r="F348" s="10">
        <v>2.16</v>
      </c>
      <c r="G348" s="10">
        <v>0.4</v>
      </c>
      <c r="H348" s="10">
        <v>49.297514656421725</v>
      </c>
      <c r="I348" s="10">
        <v>64.444444444444443</v>
      </c>
      <c r="J348" s="10">
        <v>87.210999999999999</v>
      </c>
      <c r="K348" s="10">
        <v>59.673848594509614</v>
      </c>
      <c r="L348" s="6" t="s">
        <v>68</v>
      </c>
      <c r="M348" s="6" t="s">
        <v>298</v>
      </c>
      <c r="N348" s="11" t="str">
        <f>VLOOKUP(Séparateur[[#This Row],[Puits]],Puits!$A$1:$F$267,3,FALSE)</f>
        <v>Centre</v>
      </c>
      <c r="O348" s="34">
        <f>(Séparateur[[#This Row],[Qw (sm3/j)]]/(Séparateur[[#This Row],[Qg (Msm3/j)]]*1000))*1000000</f>
        <v>0.86198908290826504</v>
      </c>
      <c r="P348" s="34">
        <f>(Séparateur[[#This Row],[Qc (sm3/j)]]/(Séparateur[[#This Row],[Qg (Msm3/j)]]*1000))*1000000</f>
        <v>4.6547410477046318</v>
      </c>
      <c r="Q348" s="46">
        <v>0.79</v>
      </c>
      <c r="R348" s="46">
        <v>0.69</v>
      </c>
      <c r="S348" s="34">
        <v>0</v>
      </c>
    </row>
    <row r="349" spans="1:19" x14ac:dyDescent="0.25">
      <c r="A349" s="6">
        <v>107</v>
      </c>
      <c r="B349" s="7" t="s">
        <v>162</v>
      </c>
      <c r="C349" s="8">
        <v>45443</v>
      </c>
      <c r="D349" s="7">
        <v>2120</v>
      </c>
      <c r="E349" s="42">
        <v>321.67899999999997</v>
      </c>
      <c r="F349" s="10">
        <v>1.68</v>
      </c>
      <c r="G349" s="10">
        <v>0.32</v>
      </c>
      <c r="H349" s="10">
        <v>53.572264179076477</v>
      </c>
      <c r="I349" s="10">
        <v>62.777777777777779</v>
      </c>
      <c r="J349" s="10">
        <v>88.212999999999994</v>
      </c>
      <c r="K349" s="10">
        <v>63.431973953079662</v>
      </c>
      <c r="L349" s="6" t="s">
        <v>68</v>
      </c>
      <c r="M349" s="6" t="s">
        <v>298</v>
      </c>
      <c r="N349" s="11" t="str">
        <f>VLOOKUP(Séparateur[[#This Row],[Puits]],Puits!$A$1:$F$267,3,FALSE)</f>
        <v>Centre</v>
      </c>
      <c r="O349" s="34">
        <f>(Séparateur[[#This Row],[Qw (sm3/j)]]/(Séparateur[[#This Row],[Qg (Msm3/j)]]*1000))*1000000</f>
        <v>0.99478051100631371</v>
      </c>
      <c r="P349" s="34">
        <f>(Séparateur[[#This Row],[Qc (sm3/j)]]/(Séparateur[[#This Row],[Qg (Msm3/j)]]*1000))*1000000</f>
        <v>5.2225976827831468</v>
      </c>
      <c r="Q349" s="46">
        <v>0.79200000000000004</v>
      </c>
      <c r="R349" s="46">
        <v>0.69199999999999995</v>
      </c>
      <c r="S349" s="34">
        <v>0</v>
      </c>
    </row>
    <row r="350" spans="1:19" x14ac:dyDescent="0.25">
      <c r="A350" s="6">
        <v>108</v>
      </c>
      <c r="B350" s="7" t="s">
        <v>138</v>
      </c>
      <c r="C350" s="8">
        <v>45444</v>
      </c>
      <c r="D350" s="7">
        <v>2180</v>
      </c>
      <c r="E350" s="42">
        <v>625.298</v>
      </c>
      <c r="F350" s="10">
        <v>3.63</v>
      </c>
      <c r="G350" s="10">
        <v>0.57999999999999996</v>
      </c>
      <c r="H350" s="10">
        <v>38.128007839162535</v>
      </c>
      <c r="I350" s="10">
        <v>58.333333333333336</v>
      </c>
      <c r="J350" s="10">
        <v>87.891000000000005</v>
      </c>
      <c r="K350" s="10">
        <v>48.611555253181535</v>
      </c>
      <c r="L350" s="6" t="s">
        <v>67</v>
      </c>
      <c r="M350" s="6" t="s">
        <v>298</v>
      </c>
      <c r="N350" s="11" t="str">
        <f>VLOOKUP(Séparateur[[#This Row],[Puits]],Puits!$A$1:$F$267,3,FALSE)</f>
        <v>Centre</v>
      </c>
      <c r="O350" s="34">
        <f>(Séparateur[[#This Row],[Qw (sm3/j)]]/(Séparateur[[#This Row],[Qg (Msm3/j)]]*1000))*1000000</f>
        <v>0.92755774046934414</v>
      </c>
      <c r="P350" s="34">
        <f>(Séparateur[[#This Row],[Qc (sm3/j)]]/(Séparateur[[#This Row],[Qg (Msm3/j)]]*1000))*1000000</f>
        <v>5.8052320653512401</v>
      </c>
      <c r="Q350" s="46">
        <v>0.76800000000000002</v>
      </c>
      <c r="R350" s="46">
        <v>0.68400000000000005</v>
      </c>
      <c r="S350" s="34">
        <v>2</v>
      </c>
    </row>
    <row r="351" spans="1:19" x14ac:dyDescent="0.25">
      <c r="A351" s="6">
        <v>108</v>
      </c>
      <c r="B351" s="7" t="s">
        <v>138</v>
      </c>
      <c r="C351" s="8">
        <v>45444</v>
      </c>
      <c r="D351" s="7">
        <v>2180</v>
      </c>
      <c r="E351" s="42">
        <v>473.43200000000002</v>
      </c>
      <c r="F351" s="10">
        <v>3.09</v>
      </c>
      <c r="G351" s="10">
        <v>0.43</v>
      </c>
      <c r="H351" s="10">
        <v>42.195914642979155</v>
      </c>
      <c r="I351" s="10">
        <v>63.333333333333336</v>
      </c>
      <c r="J351" s="10">
        <v>88.572000000000003</v>
      </c>
      <c r="K351" s="10">
        <v>51.766665138765468</v>
      </c>
      <c r="L351" s="6" t="s">
        <v>68</v>
      </c>
      <c r="M351" s="6" t="s">
        <v>298</v>
      </c>
      <c r="N351" s="11" t="str">
        <f>VLOOKUP(Séparateur[[#This Row],[Puits]],Puits!$A$1:$F$267,3,FALSE)</f>
        <v>Centre</v>
      </c>
      <c r="O351" s="34">
        <f>(Séparateur[[#This Row],[Qw (sm3/j)]]/(Séparateur[[#This Row],[Qg (Msm3/j)]]*1000))*1000000</f>
        <v>0.90826137650179961</v>
      </c>
      <c r="P351" s="34">
        <f>(Séparateur[[#This Row],[Qc (sm3/j)]]/(Séparateur[[#This Row],[Qg (Msm3/j)]]*1000))*1000000</f>
        <v>6.526808496257118</v>
      </c>
      <c r="Q351" s="46">
        <v>0.76800000000000002</v>
      </c>
      <c r="R351" s="46">
        <v>0.68799999999999994</v>
      </c>
      <c r="S351" s="34">
        <v>2</v>
      </c>
    </row>
    <row r="352" spans="1:19" x14ac:dyDescent="0.25">
      <c r="A352" s="6">
        <v>108</v>
      </c>
      <c r="B352" s="7" t="s">
        <v>138</v>
      </c>
      <c r="C352" s="8">
        <v>45444</v>
      </c>
      <c r="D352" s="7">
        <v>2180</v>
      </c>
      <c r="E352" s="42">
        <v>319.81799999999998</v>
      </c>
      <c r="F352" s="10">
        <v>2.54</v>
      </c>
      <c r="G352" s="10">
        <v>0.16</v>
      </c>
      <c r="H352" s="10">
        <v>45.85013600911951</v>
      </c>
      <c r="I352" s="10">
        <v>63.888888888888893</v>
      </c>
      <c r="J352" s="10">
        <v>89.158000000000001</v>
      </c>
      <c r="K352" s="10">
        <v>54.852137975673898</v>
      </c>
      <c r="L352" s="6" t="s">
        <v>68</v>
      </c>
      <c r="M352" s="6" t="s">
        <v>298</v>
      </c>
      <c r="N352" s="11" t="str">
        <f>VLOOKUP(Séparateur[[#This Row],[Puits]],Puits!$A$1:$F$267,3,FALSE)</f>
        <v>Centre</v>
      </c>
      <c r="O352" s="34">
        <f>(Séparateur[[#This Row],[Qw (sm3/j)]]/(Séparateur[[#This Row],[Qg (Msm3/j)]]*1000))*1000000</f>
        <v>0.50028453683032226</v>
      </c>
      <c r="P352" s="34">
        <f>(Séparateur[[#This Row],[Qc (sm3/j)]]/(Séparateur[[#This Row],[Qg (Msm3/j)]]*1000))*1000000</f>
        <v>7.942017022181366</v>
      </c>
      <c r="Q352" s="46">
        <v>0.76700000000000002</v>
      </c>
      <c r="R352" s="46">
        <v>0.69199999999999995</v>
      </c>
      <c r="S352" s="34">
        <v>2</v>
      </c>
    </row>
    <row r="353" spans="1:19" x14ac:dyDescent="0.25">
      <c r="A353" s="6">
        <v>109</v>
      </c>
      <c r="B353" s="7" t="s">
        <v>133</v>
      </c>
      <c r="C353" s="8">
        <v>45446</v>
      </c>
      <c r="D353" s="7">
        <v>2100</v>
      </c>
      <c r="E353" s="42">
        <v>685.45699999999999</v>
      </c>
      <c r="F353" s="10">
        <v>8.9700000000000006</v>
      </c>
      <c r="G353" s="10">
        <v>0.48</v>
      </c>
      <c r="H353" s="10">
        <v>39.782749589867599</v>
      </c>
      <c r="I353" s="10">
        <v>54.44444444444445</v>
      </c>
      <c r="J353" s="10">
        <v>83.605000000000004</v>
      </c>
      <c r="K353" s="10">
        <v>51.033821385921961</v>
      </c>
      <c r="L353" s="6" t="s">
        <v>67</v>
      </c>
      <c r="M353" s="6" t="s">
        <v>298</v>
      </c>
      <c r="N353" s="11" t="str">
        <f>VLOOKUP(Séparateur[[#This Row],[Puits]],Puits!$A$1:$F$267,3,FALSE)</f>
        <v>Centre</v>
      </c>
      <c r="O353" s="34">
        <f>(Séparateur[[#This Row],[Qw (sm3/j)]]/(Séparateur[[#This Row],[Qg (Msm3/j)]]*1000))*1000000</f>
        <v>0.70026274441722813</v>
      </c>
      <c r="P353" s="34">
        <f>(Séparateur[[#This Row],[Qc (sm3/j)]]/(Séparateur[[#This Row],[Qg (Msm3/j)]]*1000))*1000000</f>
        <v>13.086160036296953</v>
      </c>
      <c r="Q353" s="46"/>
      <c r="R353" s="46"/>
      <c r="S353" s="34"/>
    </row>
    <row r="354" spans="1:19" x14ac:dyDescent="0.25">
      <c r="A354" s="6">
        <v>109</v>
      </c>
      <c r="B354" s="7" t="s">
        <v>133</v>
      </c>
      <c r="C354" s="8">
        <v>45446</v>
      </c>
      <c r="D354" s="7">
        <v>2100</v>
      </c>
      <c r="E354" s="42">
        <v>467.524</v>
      </c>
      <c r="F354" s="10">
        <v>4.9000000000000004</v>
      </c>
      <c r="G354" s="10">
        <v>0.36</v>
      </c>
      <c r="H354" s="10">
        <v>49.918042812936122</v>
      </c>
      <c r="I354" s="10">
        <v>57.222222222222221</v>
      </c>
      <c r="J354" s="10">
        <v>86.231999999999999</v>
      </c>
      <c r="K354" s="10">
        <v>60.381319640508977</v>
      </c>
      <c r="L354" s="6" t="s">
        <v>68</v>
      </c>
      <c r="M354" s="6" t="s">
        <v>298</v>
      </c>
      <c r="N354" s="11" t="str">
        <f>VLOOKUP(Séparateur[[#This Row],[Puits]],Puits!$A$1:$F$267,3,FALSE)</f>
        <v>Centre</v>
      </c>
      <c r="O354" s="34">
        <f>(Séparateur[[#This Row],[Qw (sm3/j)]]/(Séparateur[[#This Row],[Qg (Msm3/j)]]*1000))*1000000</f>
        <v>0.77001394580812954</v>
      </c>
      <c r="P354" s="34">
        <f>(Séparateur[[#This Row],[Qc (sm3/j)]]/(Séparateur[[#This Row],[Qg (Msm3/j)]]*1000))*1000000</f>
        <v>10.480745373499543</v>
      </c>
      <c r="Q354" s="46"/>
      <c r="R354" s="46"/>
      <c r="S354" s="34"/>
    </row>
    <row r="355" spans="1:19" x14ac:dyDescent="0.25">
      <c r="A355" s="6">
        <v>109</v>
      </c>
      <c r="B355" s="7" t="s">
        <v>133</v>
      </c>
      <c r="C355" s="8">
        <v>45446</v>
      </c>
      <c r="D355" s="7">
        <v>2100</v>
      </c>
      <c r="E355" s="42">
        <v>321.03899999999999</v>
      </c>
      <c r="F355" s="10">
        <v>4.51</v>
      </c>
      <c r="G355" s="10">
        <v>0.24</v>
      </c>
      <c r="H355" s="10">
        <v>54.261739908536917</v>
      </c>
      <c r="I355" s="10">
        <v>57.222222222222221</v>
      </c>
      <c r="J355" s="10">
        <v>87.325000000000003</v>
      </c>
      <c r="K355" s="10">
        <v>64.562576254248896</v>
      </c>
      <c r="L355" s="6" t="s">
        <v>68</v>
      </c>
      <c r="M355" s="6" t="s">
        <v>298</v>
      </c>
      <c r="N355" s="11" t="str">
        <f>VLOOKUP(Séparateur[[#This Row],[Puits]],Puits!$A$1:$F$267,3,FALSE)</f>
        <v>Centre</v>
      </c>
      <c r="O355" s="34">
        <f>(Séparateur[[#This Row],[Qw (sm3/j)]]/(Séparateur[[#This Row],[Qg (Msm3/j)]]*1000))*1000000</f>
        <v>0.74757272480913528</v>
      </c>
      <c r="P355" s="34">
        <f>(Séparateur[[#This Row],[Qc (sm3/j)]]/(Séparateur[[#This Row],[Qg (Msm3/j)]]*1000))*1000000</f>
        <v>14.048137453705001</v>
      </c>
      <c r="Q355" s="46"/>
      <c r="R355" s="46"/>
      <c r="S355" s="34"/>
    </row>
    <row r="356" spans="1:19" x14ac:dyDescent="0.25">
      <c r="A356" s="6">
        <v>110</v>
      </c>
      <c r="B356" s="7" t="s">
        <v>99</v>
      </c>
      <c r="C356" s="8">
        <v>45447</v>
      </c>
      <c r="D356" s="7">
        <v>1945</v>
      </c>
      <c r="E356" s="42">
        <v>765.23400000000004</v>
      </c>
      <c r="F356" s="10">
        <v>4.84</v>
      </c>
      <c r="G356" s="10">
        <v>0.53</v>
      </c>
      <c r="H356" s="10">
        <v>39.438011725137379</v>
      </c>
      <c r="I356" s="10">
        <v>63.333333333333336</v>
      </c>
      <c r="J356" s="10">
        <v>82.13</v>
      </c>
      <c r="K356" s="10">
        <v>50.481551326624142</v>
      </c>
      <c r="L356" s="6" t="s">
        <v>67</v>
      </c>
      <c r="M356" s="6" t="s">
        <v>297</v>
      </c>
      <c r="N356" s="11" t="str">
        <f>VLOOKUP(Séparateur[[#This Row],[Puits]],Puits!$A$1:$F$267,3,FALSE)</f>
        <v>Centre</v>
      </c>
      <c r="O356" s="34">
        <f>(Séparateur[[#This Row],[Qw (sm3/j)]]/(Séparateur[[#This Row],[Qg (Msm3/j)]]*1000))*1000000</f>
        <v>0.69259860382575789</v>
      </c>
      <c r="P356" s="34">
        <f>(Séparateur[[#This Row],[Qc (sm3/j)]]/(Séparateur[[#This Row],[Qg (Msm3/j)]]*1000))*1000000</f>
        <v>6.3248627217295619</v>
      </c>
      <c r="Q356" s="46">
        <v>0.76100000000000001</v>
      </c>
      <c r="R356" s="46">
        <v>0.68400000000000005</v>
      </c>
      <c r="S356" s="34">
        <v>5</v>
      </c>
    </row>
    <row r="357" spans="1:19" x14ac:dyDescent="0.25">
      <c r="A357" s="6">
        <v>110</v>
      </c>
      <c r="B357" s="7" t="s">
        <v>99</v>
      </c>
      <c r="C357" s="8">
        <v>45447</v>
      </c>
      <c r="D357" s="7">
        <v>1945</v>
      </c>
      <c r="E357" s="42">
        <v>612.02499999999998</v>
      </c>
      <c r="F357" s="10">
        <v>3.78</v>
      </c>
      <c r="G357" s="10">
        <v>0.48</v>
      </c>
      <c r="H357" s="10">
        <v>45.29855542555115</v>
      </c>
      <c r="I357" s="10">
        <v>64.444444444444443</v>
      </c>
      <c r="J357" s="10">
        <v>83.313999999999993</v>
      </c>
      <c r="K357" s="10">
        <v>55.602287569326862</v>
      </c>
      <c r="L357" s="6" t="s">
        <v>68</v>
      </c>
      <c r="M357" s="6" t="s">
        <v>297</v>
      </c>
      <c r="N357" s="11" t="str">
        <f>VLOOKUP(Séparateur[[#This Row],[Puits]],Puits!$A$1:$F$267,3,FALSE)</f>
        <v>Centre</v>
      </c>
      <c r="O357" s="34">
        <f>(Séparateur[[#This Row],[Qw (sm3/j)]]/(Séparateur[[#This Row],[Qg (Msm3/j)]]*1000))*1000000</f>
        <v>0.78428168783954899</v>
      </c>
      <c r="P357" s="34">
        <f>(Séparateur[[#This Row],[Qc (sm3/j)]]/(Séparateur[[#This Row],[Qg (Msm3/j)]]*1000))*1000000</f>
        <v>6.1762182917364488</v>
      </c>
      <c r="Q357" s="46">
        <v>0.76100000000000001</v>
      </c>
      <c r="R357" s="46">
        <v>0.68799999999999994</v>
      </c>
      <c r="S357" s="34">
        <v>5</v>
      </c>
    </row>
    <row r="358" spans="1:19" x14ac:dyDescent="0.25">
      <c r="A358" s="6">
        <v>110</v>
      </c>
      <c r="B358" s="7" t="s">
        <v>99</v>
      </c>
      <c r="C358" s="8">
        <v>45447</v>
      </c>
      <c r="D358" s="7">
        <v>1945</v>
      </c>
      <c r="E358" s="42">
        <v>458.77</v>
      </c>
      <c r="F358" s="10">
        <v>2.9</v>
      </c>
      <c r="G358" s="10">
        <v>0.24</v>
      </c>
      <c r="H358" s="10">
        <v>50.469623396504481</v>
      </c>
      <c r="I358" s="10">
        <v>61.666666666666671</v>
      </c>
      <c r="J358" s="10">
        <v>84.236999999999995</v>
      </c>
      <c r="K358" s="10">
        <v>60.113182529321818</v>
      </c>
      <c r="L358" s="6" t="s">
        <v>68</v>
      </c>
      <c r="M358" s="6" t="s">
        <v>297</v>
      </c>
      <c r="N358" s="11" t="str">
        <f>VLOOKUP(Séparateur[[#This Row],[Puits]],Puits!$A$1:$F$267,3,FALSE)</f>
        <v>Centre</v>
      </c>
      <c r="O358" s="34">
        <f>(Séparateur[[#This Row],[Qw (sm3/j)]]/(Séparateur[[#This Row],[Qg (Msm3/j)]]*1000))*1000000</f>
        <v>0.52313795583843747</v>
      </c>
      <c r="P358" s="34">
        <f>(Séparateur[[#This Row],[Qc (sm3/j)]]/(Séparateur[[#This Row],[Qg (Msm3/j)]]*1000))*1000000</f>
        <v>6.3212502997144542</v>
      </c>
      <c r="Q358" s="46">
        <v>0.76</v>
      </c>
      <c r="R358" s="46">
        <v>0.68799999999999994</v>
      </c>
      <c r="S358" s="34">
        <v>5</v>
      </c>
    </row>
    <row r="359" spans="1:19" x14ac:dyDescent="0.25">
      <c r="A359" s="6">
        <v>111</v>
      </c>
      <c r="B359" s="7" t="s">
        <v>206</v>
      </c>
      <c r="C359" s="8">
        <v>45448</v>
      </c>
      <c r="D359" s="7">
        <v>2110</v>
      </c>
      <c r="E359" s="42">
        <v>667.97106640000004</v>
      </c>
      <c r="F359" s="10">
        <v>4.3199999999999994</v>
      </c>
      <c r="G359" s="10">
        <v>0.66239999999999988</v>
      </c>
      <c r="H359" s="10">
        <v>37.726981175879168</v>
      </c>
      <c r="I359" s="10">
        <v>57.046399999999998</v>
      </c>
      <c r="J359" s="10">
        <v>83.075000000000003</v>
      </c>
      <c r="K359" s="10">
        <v>48.561016682212077</v>
      </c>
      <c r="L359" s="6" t="s">
        <v>67</v>
      </c>
      <c r="M359" s="6" t="s">
        <v>298</v>
      </c>
      <c r="N359" s="11" t="str">
        <f>VLOOKUP(Séparateur[[#This Row],[Puits]],Puits!$A$1:$F$267,3,FALSE)</f>
        <v>Centre</v>
      </c>
      <c r="O359" s="34">
        <f>(Séparateur[[#This Row],[Qw (sm3/j)]]/(Séparateur[[#This Row],[Qg (Msm3/j)]]*1000))*1000000</f>
        <v>0.99165971899048688</v>
      </c>
      <c r="P359" s="34">
        <f>(Séparateur[[#This Row],[Qc (sm3/j)]]/(Séparateur[[#This Row],[Qg (Msm3/j)]]*1000))*1000000</f>
        <v>6.4673459934162194</v>
      </c>
      <c r="Q359" s="46" t="s">
        <v>331</v>
      </c>
      <c r="R359" s="46">
        <v>0.68200000000000005</v>
      </c>
      <c r="S359" s="34">
        <v>0</v>
      </c>
    </row>
    <row r="360" spans="1:19" x14ac:dyDescent="0.25">
      <c r="A360" s="6">
        <v>111</v>
      </c>
      <c r="B360" s="7" t="s">
        <v>206</v>
      </c>
      <c r="C360" s="8">
        <v>45448</v>
      </c>
      <c r="D360" s="7">
        <v>2110</v>
      </c>
      <c r="E360" s="42">
        <v>528.79450200000008</v>
      </c>
      <c r="F360" s="10">
        <v>3.3840000000000026</v>
      </c>
      <c r="G360" s="10">
        <v>0.55200000000000049</v>
      </c>
      <c r="H360" s="10">
        <v>45.068770401815222</v>
      </c>
      <c r="I360" s="10">
        <v>58.289000000000001</v>
      </c>
      <c r="J360" s="10">
        <v>84.957999999999998</v>
      </c>
      <c r="K360" s="10">
        <v>54.951974061299765</v>
      </c>
      <c r="L360" s="6" t="s">
        <v>68</v>
      </c>
      <c r="M360" s="6" t="s">
        <v>298</v>
      </c>
      <c r="N360" s="11" t="str">
        <f>VLOOKUP(Séparateur[[#This Row],[Puits]],Puits!$A$1:$F$267,3,FALSE)</f>
        <v>Centre</v>
      </c>
      <c r="O360" s="34">
        <f>(Séparateur[[#This Row],[Qw (sm3/j)]]/(Séparateur[[#This Row],[Qg (Msm3/j)]]*1000))*1000000</f>
        <v>1.0438837732091255</v>
      </c>
      <c r="P360" s="34">
        <f>(Séparateur[[#This Row],[Qc (sm3/j)]]/(Séparateur[[#This Row],[Qg (Msm3/j)]]*1000))*1000000</f>
        <v>6.3994613922820287</v>
      </c>
      <c r="Q360" s="46" t="s">
        <v>331</v>
      </c>
      <c r="R360" s="46">
        <v>0.68799999999999994</v>
      </c>
      <c r="S360" s="34">
        <v>0</v>
      </c>
    </row>
    <row r="361" spans="1:19" x14ac:dyDescent="0.25">
      <c r="A361" s="6">
        <v>111</v>
      </c>
      <c r="B361" s="7" t="s">
        <v>206</v>
      </c>
      <c r="C361" s="8">
        <v>45448</v>
      </c>
      <c r="D361" s="7">
        <v>2110</v>
      </c>
      <c r="E361" s="42">
        <v>336.94416649999999</v>
      </c>
      <c r="F361" s="10">
        <v>2.9040000000000026</v>
      </c>
      <c r="G361" s="10">
        <v>0.48000000000000048</v>
      </c>
      <c r="H361" s="10">
        <v>52.51433261979237</v>
      </c>
      <c r="I361" s="10">
        <v>57.792000000000002</v>
      </c>
      <c r="J361" s="10">
        <v>86.91</v>
      </c>
      <c r="K361" s="10">
        <v>62.132105360327884</v>
      </c>
      <c r="L361" s="6" t="s">
        <v>68</v>
      </c>
      <c r="M361" s="6" t="s">
        <v>298</v>
      </c>
      <c r="N361" s="11" t="str">
        <f>VLOOKUP(Séparateur[[#This Row],[Puits]],Puits!$A$1:$F$267,3,FALSE)</f>
        <v>Centre</v>
      </c>
      <c r="O361" s="34">
        <f>(Séparateur[[#This Row],[Qw (sm3/j)]]/(Séparateur[[#This Row],[Qg (Msm3/j)]]*1000))*1000000</f>
        <v>1.4245683639102282</v>
      </c>
      <c r="P361" s="34">
        <f>(Séparateur[[#This Row],[Qc (sm3/j)]]/(Séparateur[[#This Row],[Qg (Msm3/j)]]*1000))*1000000</f>
        <v>8.6186386016568797</v>
      </c>
      <c r="Q361" s="46" t="s">
        <v>355</v>
      </c>
      <c r="R361" s="46">
        <v>0.69199999999999995</v>
      </c>
      <c r="S361" s="34">
        <v>0</v>
      </c>
    </row>
    <row r="362" spans="1:19" x14ac:dyDescent="0.25">
      <c r="A362" s="6">
        <v>112</v>
      </c>
      <c r="B362" s="7" t="s">
        <v>153</v>
      </c>
      <c r="C362" s="8">
        <v>45449</v>
      </c>
      <c r="D362" s="7">
        <v>1925</v>
      </c>
      <c r="E362" s="42">
        <v>959.84699999999998</v>
      </c>
      <c r="F362" s="10">
        <v>11.23</v>
      </c>
      <c r="G362" s="10">
        <v>0.56000000000000005</v>
      </c>
      <c r="H362" s="10">
        <v>44.471184550198622</v>
      </c>
      <c r="I362" s="10">
        <v>63.333333333333336</v>
      </c>
      <c r="J362" s="10">
        <v>86.522999999999996</v>
      </c>
      <c r="K362" s="10">
        <v>56.874163447462543</v>
      </c>
      <c r="L362" s="6" t="s">
        <v>67</v>
      </c>
      <c r="M362" s="6" t="s">
        <v>298</v>
      </c>
      <c r="N362" s="11" t="str">
        <f>VLOOKUP(Séparateur[[#This Row],[Puits]],Puits!$A$1:$F$267,3,FALSE)</f>
        <v>Centre</v>
      </c>
      <c r="O362" s="34">
        <f>(Séparateur[[#This Row],[Qw (sm3/j)]]/(Séparateur[[#This Row],[Qg (Msm3/j)]]*1000))*1000000</f>
        <v>0.58342631690258973</v>
      </c>
      <c r="P362" s="34">
        <f>(Séparateur[[#This Row],[Qc (sm3/j)]]/(Séparateur[[#This Row],[Qg (Msm3/j)]]*1000))*1000000</f>
        <v>11.699781319314432</v>
      </c>
      <c r="Q362" s="46">
        <v>0.75600000000000001</v>
      </c>
      <c r="R362" s="46">
        <v>0.68</v>
      </c>
      <c r="S362" s="34">
        <v>5</v>
      </c>
    </row>
    <row r="363" spans="1:19" x14ac:dyDescent="0.25">
      <c r="A363" s="6">
        <v>112</v>
      </c>
      <c r="B363" s="7" t="s">
        <v>153</v>
      </c>
      <c r="C363" s="8">
        <v>45449</v>
      </c>
      <c r="D363" s="7">
        <v>1925</v>
      </c>
      <c r="E363" s="42">
        <v>733.57</v>
      </c>
      <c r="F363" s="10">
        <v>9.9</v>
      </c>
      <c r="G363" s="10">
        <v>0.48</v>
      </c>
      <c r="H363" s="10">
        <v>49.36646222936777</v>
      </c>
      <c r="I363" s="10">
        <v>64.444444444444443</v>
      </c>
      <c r="J363" s="10">
        <v>87.15</v>
      </c>
      <c r="K363" s="10">
        <v>60.045820750553524</v>
      </c>
      <c r="L363" s="6" t="s">
        <v>68</v>
      </c>
      <c r="M363" s="6" t="s">
        <v>298</v>
      </c>
      <c r="N363" s="11" t="str">
        <f>VLOOKUP(Séparateur[[#This Row],[Puits]],Puits!$A$1:$F$267,3,FALSE)</f>
        <v>Centre</v>
      </c>
      <c r="O363" s="34">
        <f>(Séparateur[[#This Row],[Qw (sm3/j)]]/(Séparateur[[#This Row],[Qg (Msm3/j)]]*1000))*1000000</f>
        <v>0.65433428302684127</v>
      </c>
      <c r="P363" s="34">
        <f>(Séparateur[[#This Row],[Qc (sm3/j)]]/(Séparateur[[#This Row],[Qg (Msm3/j)]]*1000))*1000000</f>
        <v>13.495644587428602</v>
      </c>
      <c r="Q363" s="46">
        <v>0.75600000000000001</v>
      </c>
      <c r="R363" s="46">
        <v>0.68400000000000005</v>
      </c>
      <c r="S363" s="34">
        <v>5</v>
      </c>
    </row>
    <row r="364" spans="1:19" x14ac:dyDescent="0.25">
      <c r="A364" s="6">
        <v>112</v>
      </c>
      <c r="B364" s="7" t="s">
        <v>153</v>
      </c>
      <c r="C364" s="8">
        <v>45449</v>
      </c>
      <c r="D364" s="7">
        <v>1925</v>
      </c>
      <c r="E364" s="42">
        <v>557.01199999999994</v>
      </c>
      <c r="F364" s="10">
        <v>8.52</v>
      </c>
      <c r="G364" s="10">
        <v>0.36</v>
      </c>
      <c r="H364" s="10">
        <v>52.400155438993721</v>
      </c>
      <c r="I364" s="10">
        <v>63.333333333333336</v>
      </c>
      <c r="J364" s="10">
        <v>87.352999999999994</v>
      </c>
      <c r="K364" s="10">
        <v>61.896649398717145</v>
      </c>
      <c r="L364" s="6" t="s">
        <v>68</v>
      </c>
      <c r="M364" s="6" t="s">
        <v>298</v>
      </c>
      <c r="N364" s="11" t="str">
        <f>VLOOKUP(Séparateur[[#This Row],[Puits]],Puits!$A$1:$F$267,3,FALSE)</f>
        <v>Centre</v>
      </c>
      <c r="O364" s="34">
        <f>(Séparateur[[#This Row],[Qw (sm3/j)]]/(Séparateur[[#This Row],[Qg (Msm3/j)]]*1000))*1000000</f>
        <v>0.64630564512075139</v>
      </c>
      <c r="P364" s="34">
        <f>(Séparateur[[#This Row],[Qc (sm3/j)]]/(Séparateur[[#This Row],[Qg (Msm3/j)]]*1000))*1000000</f>
        <v>15.295900267857785</v>
      </c>
      <c r="Q364" s="46">
        <v>0.755</v>
      </c>
      <c r="R364" s="46">
        <v>0.68799999999999994</v>
      </c>
      <c r="S364" s="34">
        <v>5</v>
      </c>
    </row>
    <row r="365" spans="1:19" x14ac:dyDescent="0.25">
      <c r="A365" s="6">
        <v>113</v>
      </c>
      <c r="B365" s="7" t="s">
        <v>97</v>
      </c>
      <c r="C365" s="8">
        <v>45450</v>
      </c>
      <c r="D365" s="7">
        <v>2120</v>
      </c>
      <c r="E365" s="42">
        <v>1031.93</v>
      </c>
      <c r="F365" s="10">
        <v>10.46</v>
      </c>
      <c r="G365" s="10">
        <v>0.82</v>
      </c>
      <c r="H365" s="10">
        <v>44.264341831360483</v>
      </c>
      <c r="I365" s="10">
        <v>63.333333333333336</v>
      </c>
      <c r="J365" s="10">
        <v>87.837999999999994</v>
      </c>
      <c r="K365" s="10">
        <v>59.325594403559151</v>
      </c>
      <c r="L365" s="6" t="s">
        <v>67</v>
      </c>
      <c r="M365" s="6" t="s">
        <v>298</v>
      </c>
      <c r="N365" s="11" t="str">
        <f>VLOOKUP(Séparateur[[#This Row],[Puits]],Puits!$A$1:$F$267,3,FALSE)</f>
        <v>Centre</v>
      </c>
      <c r="O365" s="34">
        <f>(Séparateur[[#This Row],[Qw (sm3/j)]]/(Séparateur[[#This Row],[Qg (Msm3/j)]]*1000))*1000000</f>
        <v>0.79462754256587165</v>
      </c>
      <c r="P365" s="34">
        <f>(Séparateur[[#This Row],[Qc (sm3/j)]]/(Séparateur[[#This Row],[Qg (Msm3/j)]]*1000))*1000000</f>
        <v>10.136346457608557</v>
      </c>
      <c r="Q365" s="46">
        <v>0.75900000000000001</v>
      </c>
      <c r="R365" s="46">
        <v>0.68</v>
      </c>
      <c r="S365" s="34">
        <v>30</v>
      </c>
    </row>
    <row r="366" spans="1:19" x14ac:dyDescent="0.25">
      <c r="A366" s="6">
        <v>113</v>
      </c>
      <c r="B366" s="7" t="s">
        <v>97</v>
      </c>
      <c r="C366" s="8">
        <v>45450</v>
      </c>
      <c r="D366" s="7">
        <v>2120</v>
      </c>
      <c r="E366" s="42">
        <v>814.89599999999996</v>
      </c>
      <c r="F366" s="10">
        <v>6.12</v>
      </c>
      <c r="G366" s="10">
        <v>0.72</v>
      </c>
      <c r="H366" s="10">
        <v>48.47014378106919</v>
      </c>
      <c r="I366" s="10">
        <v>65.555555555555557</v>
      </c>
      <c r="J366" s="10">
        <v>88.311000000000007</v>
      </c>
      <c r="K366" s="10">
        <v>61.274190710160255</v>
      </c>
      <c r="L366" s="6" t="s">
        <v>68</v>
      </c>
      <c r="M366" s="6" t="s">
        <v>298</v>
      </c>
      <c r="N366" s="11" t="str">
        <f>VLOOKUP(Séparateur[[#This Row],[Puits]],Puits!$A$1:$F$267,3,FALSE)</f>
        <v>Centre</v>
      </c>
      <c r="O366" s="34">
        <f>(Séparateur[[#This Row],[Qw (sm3/j)]]/(Séparateur[[#This Row],[Qg (Msm3/j)]]*1000))*1000000</f>
        <v>0.88354833009365608</v>
      </c>
      <c r="P366" s="34">
        <f>(Séparateur[[#This Row],[Qc (sm3/j)]]/(Séparateur[[#This Row],[Qg (Msm3/j)]]*1000))*1000000</f>
        <v>7.5101608057960769</v>
      </c>
      <c r="Q366" s="46">
        <v>0.75900000000000001</v>
      </c>
      <c r="R366" s="46">
        <v>0.68400000000000005</v>
      </c>
      <c r="S366" s="34">
        <v>30</v>
      </c>
    </row>
    <row r="367" spans="1:19" x14ac:dyDescent="0.25">
      <c r="A367" s="6">
        <v>113</v>
      </c>
      <c r="B367" s="7" t="s">
        <v>97</v>
      </c>
      <c r="C367" s="8">
        <v>45450</v>
      </c>
      <c r="D367" s="7">
        <v>2120</v>
      </c>
      <c r="E367" s="42">
        <v>602.49300000000005</v>
      </c>
      <c r="F367" s="10">
        <v>4.9000000000000004</v>
      </c>
      <c r="G367" s="10">
        <v>0.62</v>
      </c>
      <c r="H367" s="10">
        <v>51.779627282479325</v>
      </c>
      <c r="I367" s="10">
        <v>65</v>
      </c>
      <c r="J367" s="10">
        <v>88.71</v>
      </c>
      <c r="K367" s="10">
        <v>63.032836453295012</v>
      </c>
      <c r="L367" s="6" t="s">
        <v>68</v>
      </c>
      <c r="M367" s="6" t="s">
        <v>298</v>
      </c>
      <c r="N367" s="11" t="str">
        <f>VLOOKUP(Séparateur[[#This Row],[Puits]],Puits!$A$1:$F$267,3,FALSE)</f>
        <v>Centre</v>
      </c>
      <c r="O367" s="34">
        <f>(Séparateur[[#This Row],[Qw (sm3/j)]]/(Séparateur[[#This Row],[Qg (Msm3/j)]]*1000))*1000000</f>
        <v>1.029057599009449</v>
      </c>
      <c r="P367" s="34">
        <f>(Séparateur[[#This Row],[Qc (sm3/j)]]/(Séparateur[[#This Row],[Qg (Msm3/j)]]*1000))*1000000</f>
        <v>8.132874572816613</v>
      </c>
      <c r="Q367" s="46">
        <v>0.75800000000000001</v>
      </c>
      <c r="R367" s="46">
        <v>0.68799999999999994</v>
      </c>
      <c r="S367" s="34">
        <v>30</v>
      </c>
    </row>
    <row r="368" spans="1:19" x14ac:dyDescent="0.25">
      <c r="A368" s="6">
        <v>114</v>
      </c>
      <c r="B368" s="7" t="s">
        <v>122</v>
      </c>
      <c r="C368" s="8">
        <v>45451</v>
      </c>
      <c r="D368" s="7">
        <v>2150</v>
      </c>
      <c r="E368" s="42">
        <v>1023.8558468000001</v>
      </c>
      <c r="F368" s="10">
        <v>11.327999999999998</v>
      </c>
      <c r="G368" s="10">
        <v>0.92159999999999975</v>
      </c>
      <c r="H368" s="10">
        <v>45.395385396996573</v>
      </c>
      <c r="I368" s="10">
        <v>60.294200000000004</v>
      </c>
      <c r="J368" s="10">
        <v>88.447000000000003</v>
      </c>
      <c r="K368" s="10">
        <v>61.222755820742506</v>
      </c>
      <c r="L368" s="6" t="s">
        <v>67</v>
      </c>
      <c r="M368" s="6" t="s">
        <v>298</v>
      </c>
      <c r="N368" s="11" t="str">
        <f>VLOOKUP(Séparateur[[#This Row],[Puits]],Puits!$A$1:$F$267,3,FALSE)</f>
        <v>Centre</v>
      </c>
      <c r="O368" s="34">
        <f>(Séparateur[[#This Row],[Qw (sm3/j)]]/(Séparateur[[#This Row],[Qg (Msm3/j)]]*1000))*1000000</f>
        <v>0.90012671498668995</v>
      </c>
      <c r="P368" s="34">
        <f>(Séparateur[[#This Row],[Qc (sm3/j)]]/(Séparateur[[#This Row],[Qg (Msm3/j)]]*1000))*1000000</f>
        <v>11.064057538378066</v>
      </c>
      <c r="Q368" s="46">
        <v>0.755</v>
      </c>
      <c r="R368" s="46">
        <v>0.68</v>
      </c>
      <c r="S368" s="34">
        <v>0</v>
      </c>
    </row>
    <row r="369" spans="1:19" x14ac:dyDescent="0.25">
      <c r="A369" s="6">
        <v>114</v>
      </c>
      <c r="B369" s="7" t="s">
        <v>122</v>
      </c>
      <c r="C369" s="8">
        <v>45451</v>
      </c>
      <c r="D369" s="7">
        <v>2150</v>
      </c>
      <c r="E369" s="42">
        <v>836.41314749999992</v>
      </c>
      <c r="F369" s="10">
        <v>7.8000000000000069</v>
      </c>
      <c r="G369" s="10">
        <v>0.84000000000000064</v>
      </c>
      <c r="H369" s="10">
        <v>48.871280760469276</v>
      </c>
      <c r="I369" s="10">
        <v>59.169000000000004</v>
      </c>
      <c r="J369" s="10">
        <v>88.838999999999999</v>
      </c>
      <c r="K369" s="10">
        <v>62.741188219733246</v>
      </c>
      <c r="L369" s="6" t="s">
        <v>68</v>
      </c>
      <c r="M369" s="6" t="s">
        <v>298</v>
      </c>
      <c r="N369" s="11" t="str">
        <f>VLOOKUP(Séparateur[[#This Row],[Puits]],Puits!$A$1:$F$267,3,FALSE)</f>
        <v>Centre</v>
      </c>
      <c r="O369" s="34">
        <f>(Séparateur[[#This Row],[Qw (sm3/j)]]/(Séparateur[[#This Row],[Qg (Msm3/j)]]*1000))*1000000</f>
        <v>1.0042883741255402</v>
      </c>
      <c r="P369" s="34">
        <f>(Séparateur[[#This Row],[Qc (sm3/j)]]/(Séparateur[[#This Row],[Qg (Msm3/j)]]*1000))*1000000</f>
        <v>9.3255349025943044</v>
      </c>
      <c r="Q369" s="46">
        <v>0.755</v>
      </c>
      <c r="R369" s="46">
        <v>0.68200000000000005</v>
      </c>
      <c r="S369" s="34">
        <v>0</v>
      </c>
    </row>
    <row r="370" spans="1:19" x14ac:dyDescent="0.25">
      <c r="A370" s="6">
        <v>114</v>
      </c>
      <c r="B370" s="7" t="s">
        <v>122</v>
      </c>
      <c r="C370" s="8">
        <v>45451</v>
      </c>
      <c r="D370" s="7">
        <v>2150</v>
      </c>
      <c r="E370" s="42">
        <v>655.32899549999991</v>
      </c>
      <c r="F370" s="10">
        <v>6.8400000000000052</v>
      </c>
      <c r="G370" s="10">
        <v>0.72000000000000064</v>
      </c>
      <c r="H370" s="10">
        <v>51.931984181796842</v>
      </c>
      <c r="I370" s="10">
        <v>59.581000000000003</v>
      </c>
      <c r="J370" s="10">
        <v>89.19</v>
      </c>
      <c r="K370" s="10">
        <v>64.127654964105247</v>
      </c>
      <c r="L370" s="6" t="s">
        <v>68</v>
      </c>
      <c r="M370" s="6" t="s">
        <v>298</v>
      </c>
      <c r="N370" s="11" t="str">
        <f>VLOOKUP(Séparateur[[#This Row],[Puits]],Puits!$A$1:$F$267,3,FALSE)</f>
        <v>Centre</v>
      </c>
      <c r="O370" s="34">
        <f>(Séparateur[[#This Row],[Qw (sm3/j)]]/(Séparateur[[#This Row],[Qg (Msm3/j)]]*1000))*1000000</f>
        <v>1.0986847903024013</v>
      </c>
      <c r="P370" s="34">
        <f>(Séparateur[[#This Row],[Qc (sm3/j)]]/(Séparateur[[#This Row],[Qg (Msm3/j)]]*1000))*1000000</f>
        <v>10.43750550787281</v>
      </c>
      <c r="Q370" s="46">
        <v>0.754</v>
      </c>
      <c r="R370" s="46">
        <v>0.68600000000000005</v>
      </c>
      <c r="S370" s="34">
        <v>0</v>
      </c>
    </row>
    <row r="371" spans="1:19" x14ac:dyDescent="0.25">
      <c r="A371" s="6">
        <v>115</v>
      </c>
      <c r="B371" s="7" t="s">
        <v>149</v>
      </c>
      <c r="C371" s="8">
        <v>45453</v>
      </c>
      <c r="D371" s="7">
        <v>2130</v>
      </c>
      <c r="E371" s="42">
        <v>1016.927</v>
      </c>
      <c r="F371" s="10">
        <v>5.48</v>
      </c>
      <c r="G371" s="10">
        <v>0.61440000000000017</v>
      </c>
      <c r="H371" s="10">
        <v>44.263879882621751</v>
      </c>
      <c r="I371" s="10">
        <v>61.793000000000013</v>
      </c>
      <c r="J371" s="10">
        <v>88.863</v>
      </c>
      <c r="K371" s="10">
        <v>59.361585036636981</v>
      </c>
      <c r="L371" s="6" t="s">
        <v>67</v>
      </c>
      <c r="M371" s="6" t="s">
        <v>298</v>
      </c>
      <c r="N371" s="11" t="str">
        <f>VLOOKUP(Séparateur[[#This Row],[Puits]],Puits!$A$1:$F$267,3,FALSE)</f>
        <v>Centre</v>
      </c>
      <c r="O371" s="34">
        <f>(Séparateur[[#This Row],[Qw (sm3/j)]]/(Séparateur[[#This Row],[Qg (Msm3/j)]]*1000))*1000000</f>
        <v>0.60417316090535522</v>
      </c>
      <c r="P371" s="34">
        <f>(Séparateur[[#This Row],[Qc (sm3/j)]]/(Séparateur[[#This Row],[Qg (Msm3/j)]]*1000))*1000000</f>
        <v>5.3887840523459412</v>
      </c>
      <c r="Q371" s="46" t="s">
        <v>353</v>
      </c>
      <c r="R371" s="46">
        <v>0.68200000000000005</v>
      </c>
      <c r="S371" s="34">
        <v>0</v>
      </c>
    </row>
    <row r="372" spans="1:19" x14ac:dyDescent="0.25">
      <c r="A372" s="6">
        <v>115</v>
      </c>
      <c r="B372" s="7" t="s">
        <v>149</v>
      </c>
      <c r="C372" s="8">
        <v>45453</v>
      </c>
      <c r="D372" s="7">
        <v>2130</v>
      </c>
      <c r="E372" s="42">
        <v>832.8</v>
      </c>
      <c r="F372" s="10">
        <v>4.12</v>
      </c>
      <c r="G372" s="10">
        <v>0.52800000000000047</v>
      </c>
      <c r="H372" s="10">
        <v>48.132473042565941</v>
      </c>
      <c r="I372" s="10">
        <v>64.189000000000007</v>
      </c>
      <c r="J372" s="10">
        <v>89.363</v>
      </c>
      <c r="K372" s="10">
        <v>61.262055937321747</v>
      </c>
      <c r="L372" s="6" t="s">
        <v>68</v>
      </c>
      <c r="M372" s="6" t="s">
        <v>298</v>
      </c>
      <c r="N372" s="11" t="str">
        <f>VLOOKUP(Séparateur[[#This Row],[Puits]],Puits!$A$1:$F$267,3,FALSE)</f>
        <v>Centre</v>
      </c>
      <c r="O372" s="34">
        <f>(Séparateur[[#This Row],[Qw (sm3/j)]]/(Séparateur[[#This Row],[Qg (Msm3/j)]]*1000))*1000000</f>
        <v>0.63400576368876138</v>
      </c>
      <c r="P372" s="34">
        <f>(Séparateur[[#This Row],[Qc (sm3/j)]]/(Séparateur[[#This Row],[Qg (Msm3/j)]]*1000))*1000000</f>
        <v>4.9471661863592695</v>
      </c>
      <c r="Q372" s="46" t="s">
        <v>353</v>
      </c>
      <c r="R372" s="46">
        <v>0.68600000000000005</v>
      </c>
      <c r="S372" s="34">
        <v>0</v>
      </c>
    </row>
    <row r="373" spans="1:19" x14ac:dyDescent="0.25">
      <c r="A373" s="6">
        <v>115</v>
      </c>
      <c r="B373" s="7" t="s">
        <v>149</v>
      </c>
      <c r="C373" s="8">
        <v>45453</v>
      </c>
      <c r="D373" s="7">
        <v>2130</v>
      </c>
      <c r="E373" s="42">
        <v>635.27853349999998</v>
      </c>
      <c r="F373" s="10">
        <v>3.4800000000000035</v>
      </c>
      <c r="G373" s="10">
        <v>0.43200000000000044</v>
      </c>
      <c r="H373" s="10">
        <v>51.410619872072097</v>
      </c>
      <c r="I373" s="10">
        <v>64.835000000000022</v>
      </c>
      <c r="J373" s="10">
        <v>89.813000000000002</v>
      </c>
      <c r="K373" s="10">
        <v>63.008842697909785</v>
      </c>
      <c r="L373" s="6" t="s">
        <v>68</v>
      </c>
      <c r="M373" s="6" t="s">
        <v>298</v>
      </c>
      <c r="N373" s="11" t="str">
        <f>VLOOKUP(Séparateur[[#This Row],[Puits]],Puits!$A$1:$F$267,3,FALSE)</f>
        <v>Centre</v>
      </c>
      <c r="O373" s="34">
        <f>(Séparateur[[#This Row],[Qw (sm3/j)]]/(Séparateur[[#This Row],[Qg (Msm3/j)]]*1000))*1000000</f>
        <v>0.68001668121846026</v>
      </c>
      <c r="P373" s="34">
        <f>(Séparateur[[#This Row],[Qc (sm3/j)]]/(Séparateur[[#This Row],[Qg (Msm3/j)]]*1000))*1000000</f>
        <v>5.4779121542598181</v>
      </c>
      <c r="Q373" s="46" t="s">
        <v>354</v>
      </c>
      <c r="R373" s="46">
        <v>0.69</v>
      </c>
      <c r="S373" s="34">
        <v>0</v>
      </c>
    </row>
    <row r="374" spans="1:19" x14ac:dyDescent="0.25">
      <c r="A374" s="6">
        <v>116</v>
      </c>
      <c r="B374" s="7" t="s">
        <v>94</v>
      </c>
      <c r="C374" s="8">
        <v>45454</v>
      </c>
      <c r="D374" s="7">
        <v>2030</v>
      </c>
      <c r="E374" s="42">
        <v>927.50315239999998</v>
      </c>
      <c r="F374" s="10">
        <v>4.9920000000000018</v>
      </c>
      <c r="G374" s="10">
        <v>0.57600000000000018</v>
      </c>
      <c r="H374" s="10">
        <v>42.765269910853</v>
      </c>
      <c r="I374" s="10">
        <v>62.766400000000004</v>
      </c>
      <c r="J374" s="10">
        <v>86.397000000000006</v>
      </c>
      <c r="K374" s="10">
        <v>55.960608105927449</v>
      </c>
      <c r="L374" s="6" t="s">
        <v>67</v>
      </c>
      <c r="M374" s="6" t="s">
        <v>297</v>
      </c>
      <c r="N374" s="11" t="str">
        <f>VLOOKUP(Séparateur[[#This Row],[Puits]],Puits!$A$1:$F$267,3,FALSE)</f>
        <v>Centre</v>
      </c>
      <c r="O374" s="34">
        <f>(Séparateur[[#This Row],[Qw (sm3/j)]]/(Séparateur[[#This Row],[Qg (Msm3/j)]]*1000))*1000000</f>
        <v>0.62102214802132694</v>
      </c>
      <c r="P374" s="34">
        <f>(Séparateur[[#This Row],[Qc (sm3/j)]]/(Séparateur[[#This Row],[Qg (Msm3/j)]]*1000))*1000000</f>
        <v>5.3821919495181669</v>
      </c>
      <c r="Q374" s="46" t="s">
        <v>341</v>
      </c>
      <c r="R374" s="46">
        <v>0.68</v>
      </c>
      <c r="S374" s="34">
        <v>0</v>
      </c>
    </row>
    <row r="375" spans="1:19" x14ac:dyDescent="0.25">
      <c r="A375" s="6">
        <v>116</v>
      </c>
      <c r="B375" s="7" t="s">
        <v>94</v>
      </c>
      <c r="C375" s="8">
        <v>45454</v>
      </c>
      <c r="D375" s="7">
        <v>2030</v>
      </c>
      <c r="E375" s="42">
        <v>755.29315550000001</v>
      </c>
      <c r="F375" s="10">
        <v>3.4800000000000035</v>
      </c>
      <c r="G375" s="10">
        <v>0.49200000000000044</v>
      </c>
      <c r="H375" s="10">
        <v>47.445651794663917</v>
      </c>
      <c r="I375" s="10">
        <v>65.350999999999999</v>
      </c>
      <c r="J375" s="10">
        <v>87.251000000000005</v>
      </c>
      <c r="K375" s="10">
        <v>59.183010822706727</v>
      </c>
      <c r="L375" s="6" t="s">
        <v>68</v>
      </c>
      <c r="M375" s="6" t="s">
        <v>297</v>
      </c>
      <c r="N375" s="11" t="str">
        <f>VLOOKUP(Séparateur[[#This Row],[Puits]],Puits!$A$1:$F$267,3,FALSE)</f>
        <v>Centre</v>
      </c>
      <c r="O375" s="34">
        <f>(Séparateur[[#This Row],[Qw (sm3/j)]]/(Séparateur[[#This Row],[Qg (Msm3/j)]]*1000))*1000000</f>
        <v>0.65140269896170189</v>
      </c>
      <c r="P375" s="34">
        <f>(Séparateur[[#This Row],[Qc (sm3/j)]]/(Séparateur[[#This Row],[Qg (Msm3/j)]]*1000))*1000000</f>
        <v>4.6074825048510633</v>
      </c>
      <c r="Q375" s="46" t="s">
        <v>341</v>
      </c>
      <c r="R375" s="46">
        <v>0.68400000000000005</v>
      </c>
      <c r="S375" s="34">
        <v>0</v>
      </c>
    </row>
    <row r="376" spans="1:19" x14ac:dyDescent="0.25">
      <c r="A376" s="6">
        <v>116</v>
      </c>
      <c r="B376" s="7" t="s">
        <v>94</v>
      </c>
      <c r="C376" s="8">
        <v>45454</v>
      </c>
      <c r="D376" s="7">
        <v>2030</v>
      </c>
      <c r="E376" s="42">
        <v>600.88118299999996</v>
      </c>
      <c r="F376" s="10">
        <v>2.9040000000000026</v>
      </c>
      <c r="G376" s="10">
        <v>0.38400000000000034</v>
      </c>
      <c r="H376" s="10">
        <v>50.794280280614167</v>
      </c>
      <c r="I376" s="10">
        <v>65.317499999999995</v>
      </c>
      <c r="J376" s="10">
        <v>87.837000000000003</v>
      </c>
      <c r="K376" s="10">
        <v>61.442836473586283</v>
      </c>
      <c r="L376" s="6" t="s">
        <v>68</v>
      </c>
      <c r="M376" s="6" t="s">
        <v>297</v>
      </c>
      <c r="N376" s="11" t="str">
        <f>VLOOKUP(Séparateur[[#This Row],[Puits]],Puits!$A$1:$F$267,3,FALSE)</f>
        <v>Centre</v>
      </c>
      <c r="O376" s="34">
        <f>(Séparateur[[#This Row],[Qw (sm3/j)]]/(Séparateur[[#This Row],[Qg (Msm3/j)]]*1000))*1000000</f>
        <v>0.63906144985738456</v>
      </c>
      <c r="P376" s="34">
        <f>(Séparateur[[#This Row],[Qc (sm3/j)]]/(Séparateur[[#This Row],[Qg (Msm3/j)]]*1000))*1000000</f>
        <v>4.8329022145464702</v>
      </c>
      <c r="Q376" s="46" t="s">
        <v>342</v>
      </c>
      <c r="R376" s="46">
        <v>0.68600000000000005</v>
      </c>
      <c r="S376" s="34">
        <v>0</v>
      </c>
    </row>
    <row r="377" spans="1:19" x14ac:dyDescent="0.25">
      <c r="A377" s="6">
        <v>117</v>
      </c>
      <c r="B377" s="7" t="s">
        <v>226</v>
      </c>
      <c r="C377" s="8">
        <v>45455</v>
      </c>
      <c r="D377" s="7">
        <v>2010</v>
      </c>
      <c r="E377" s="42">
        <v>1089.0416684000002</v>
      </c>
      <c r="F377" s="10">
        <v>8.9711999999999996</v>
      </c>
      <c r="G377" s="10">
        <v>0.65279999999999994</v>
      </c>
      <c r="H377" s="10">
        <v>47.435854344548289</v>
      </c>
      <c r="I377" s="10">
        <v>65.346800000000016</v>
      </c>
      <c r="J377" s="10">
        <v>89.233000000000004</v>
      </c>
      <c r="K377" s="10">
        <v>62.279308428567688</v>
      </c>
      <c r="L377" s="6" t="s">
        <v>67</v>
      </c>
      <c r="M377" s="6" t="s">
        <v>298</v>
      </c>
      <c r="N377" s="11" t="str">
        <f>VLOOKUP(Séparateur[[#This Row],[Puits]],Puits!$A$1:$F$267,3,FALSE)</f>
        <v>Centre</v>
      </c>
      <c r="O377" s="34">
        <f>(Séparateur[[#This Row],[Qw (sm3/j)]]/(Séparateur[[#This Row],[Qg (Msm3/j)]]*1000))*1000000</f>
        <v>0.59942609997566176</v>
      </c>
      <c r="P377" s="34">
        <f>(Séparateur[[#This Row],[Qc (sm3/j)]]/(Séparateur[[#This Row],[Qg (Msm3/j)]]*1000))*1000000</f>
        <v>8.2377013298125892</v>
      </c>
      <c r="Q377" s="46" t="s">
        <v>331</v>
      </c>
      <c r="R377" s="46">
        <v>0.68</v>
      </c>
      <c r="S377" s="34">
        <v>5</v>
      </c>
    </row>
    <row r="378" spans="1:19" x14ac:dyDescent="0.25">
      <c r="A378" s="6">
        <v>117</v>
      </c>
      <c r="B378" s="7" t="s">
        <v>226</v>
      </c>
      <c r="C378" s="8">
        <v>45455</v>
      </c>
      <c r="D378" s="7">
        <v>2010</v>
      </c>
      <c r="E378" s="42">
        <v>909.90411899999992</v>
      </c>
      <c r="F378" s="10">
        <v>5.7120000000000042</v>
      </c>
      <c r="G378" s="10">
        <v>0.5760000000000004</v>
      </c>
      <c r="H378" s="10">
        <v>49.736555564048899</v>
      </c>
      <c r="I378" s="10">
        <v>66.403500000000008</v>
      </c>
      <c r="J378" s="10">
        <v>89.361999999999995</v>
      </c>
      <c r="K378" s="10">
        <v>62.922865074446072</v>
      </c>
      <c r="L378" s="6" t="s">
        <v>68</v>
      </c>
      <c r="M378" s="6" t="s">
        <v>298</v>
      </c>
      <c r="N378" s="11" t="str">
        <f>VLOOKUP(Séparateur[[#This Row],[Puits]],Puits!$A$1:$F$267,3,FALSE)</f>
        <v>Centre</v>
      </c>
      <c r="O378" s="34">
        <f>(Séparateur[[#This Row],[Qw (sm3/j)]]/(Séparateur[[#This Row],[Qg (Msm3/j)]]*1000))*1000000</f>
        <v>0.63303373176619326</v>
      </c>
      <c r="P378" s="34">
        <f>(Séparateur[[#This Row],[Qc (sm3/j)]]/(Séparateur[[#This Row],[Qg (Msm3/j)]]*1000))*1000000</f>
        <v>6.2775845066814169</v>
      </c>
      <c r="Q378" s="46" t="s">
        <v>331</v>
      </c>
      <c r="R378" s="46">
        <v>0.68200000000000005</v>
      </c>
      <c r="S378" s="34">
        <v>5</v>
      </c>
    </row>
    <row r="379" spans="1:19" x14ac:dyDescent="0.25">
      <c r="A379" s="6">
        <v>117</v>
      </c>
      <c r="B379" s="7" t="s">
        <v>226</v>
      </c>
      <c r="C379" s="8">
        <v>45455</v>
      </c>
      <c r="D379" s="7">
        <v>2010</v>
      </c>
      <c r="E379" s="42">
        <v>751.05721999999992</v>
      </c>
      <c r="F379" s="10">
        <v>4.9200000000000035</v>
      </c>
      <c r="G379" s="10">
        <v>0.46800000000000047</v>
      </c>
      <c r="H379" s="10">
        <v>51.603069785057741</v>
      </c>
      <c r="I379" s="10">
        <v>66.475000000000009</v>
      </c>
      <c r="J379" s="10">
        <v>89.468000000000004</v>
      </c>
      <c r="K379" s="10">
        <v>63.441626613292108</v>
      </c>
      <c r="L379" s="6" t="s">
        <v>68</v>
      </c>
      <c r="M379" s="6" t="s">
        <v>298</v>
      </c>
      <c r="N379" s="11" t="str">
        <f>VLOOKUP(Séparateur[[#This Row],[Puits]],Puits!$A$1:$F$267,3,FALSE)</f>
        <v>Centre</v>
      </c>
      <c r="O379" s="34">
        <f>(Séparateur[[#This Row],[Qw (sm3/j)]]/(Séparateur[[#This Row],[Qg (Msm3/j)]]*1000))*1000000</f>
        <v>0.62312163113217989</v>
      </c>
      <c r="P379" s="34">
        <f>(Séparateur[[#This Row],[Qc (sm3/j)]]/(Séparateur[[#This Row],[Qg (Msm3/j)]]*1000))*1000000</f>
        <v>6.5507658657485566</v>
      </c>
      <c r="Q379" s="46" t="s">
        <v>332</v>
      </c>
      <c r="R379" s="46">
        <v>0.68400000000000005</v>
      </c>
      <c r="S379" s="34">
        <v>5</v>
      </c>
    </row>
    <row r="380" spans="1:19" x14ac:dyDescent="0.25">
      <c r="A380" s="6">
        <v>118</v>
      </c>
      <c r="B380" s="7" t="s">
        <v>292</v>
      </c>
      <c r="C380" s="8">
        <v>45456</v>
      </c>
      <c r="D380" s="7">
        <v>1990</v>
      </c>
      <c r="E380" s="42">
        <v>891.68309719999991</v>
      </c>
      <c r="F380" s="10">
        <v>7.5263999999999998</v>
      </c>
      <c r="G380" s="10">
        <v>0.68159999999999987</v>
      </c>
      <c r="H380" s="10">
        <v>44.507616447743303</v>
      </c>
      <c r="I380" s="10">
        <v>62.952800000000011</v>
      </c>
      <c r="J380" s="10">
        <v>86.573999999999998</v>
      </c>
      <c r="K380" s="10">
        <v>56.806594825975417</v>
      </c>
      <c r="L380" s="6" t="s">
        <v>67</v>
      </c>
      <c r="M380" s="6" t="s">
        <v>297</v>
      </c>
      <c r="N380" s="11" t="str">
        <f>VLOOKUP(Séparateur[[#This Row],[Puits]],Puits!$A$1:$F$267,3,FALSE)</f>
        <v>Centre</v>
      </c>
      <c r="O380" s="34">
        <f>(Séparateur[[#This Row],[Qw (sm3/j)]]/(Séparateur[[#This Row],[Qg (Msm3/j)]]*1000))*1000000</f>
        <v>0.76439712958596151</v>
      </c>
      <c r="P380" s="34">
        <f>(Séparateur[[#This Row],[Qc (sm3/j)]]/(Séparateur[[#This Row],[Qg (Msm3/j)]]*1000))*1000000</f>
        <v>8.4406668957097732</v>
      </c>
      <c r="Q380" s="46" t="s">
        <v>350</v>
      </c>
      <c r="R380" s="46">
        <v>0.68200000000000005</v>
      </c>
      <c r="S380" s="34">
        <v>1</v>
      </c>
    </row>
    <row r="381" spans="1:19" x14ac:dyDescent="0.25">
      <c r="A381" s="6">
        <v>118</v>
      </c>
      <c r="B381" s="7" t="s">
        <v>292</v>
      </c>
      <c r="C381" s="8">
        <v>45456</v>
      </c>
      <c r="D381" s="7">
        <v>1990</v>
      </c>
      <c r="E381" s="42">
        <v>718.89545699999996</v>
      </c>
      <c r="F381" s="10">
        <v>5.8320000000000052</v>
      </c>
      <c r="G381" s="10">
        <v>0.55200000000000049</v>
      </c>
      <c r="H381" s="10">
        <v>47.693087397074031</v>
      </c>
      <c r="I381" s="10">
        <v>66.544499999999999</v>
      </c>
      <c r="J381" s="10">
        <v>87.025000000000006</v>
      </c>
      <c r="K381" s="10">
        <v>58.825724499700328</v>
      </c>
      <c r="L381" s="6" t="s">
        <v>68</v>
      </c>
      <c r="M381" s="6" t="s">
        <v>297</v>
      </c>
      <c r="N381" s="11" t="str">
        <f>VLOOKUP(Séparateur[[#This Row],[Puits]],Puits!$A$1:$F$267,3,FALSE)</f>
        <v>Centre</v>
      </c>
      <c r="O381" s="34">
        <f>(Séparateur[[#This Row],[Qw (sm3/j)]]/(Séparateur[[#This Row],[Qg (Msm3/j)]]*1000))*1000000</f>
        <v>0.76784460748094641</v>
      </c>
      <c r="P381" s="34">
        <f>(Séparateur[[#This Row],[Qc (sm3/j)]]/(Séparateur[[#This Row],[Qg (Msm3/j)]]*1000))*1000000</f>
        <v>8.1124452007769552</v>
      </c>
      <c r="Q381" s="46" t="s">
        <v>350</v>
      </c>
      <c r="R381" s="46">
        <v>0.68400000000000005</v>
      </c>
      <c r="S381" s="34">
        <v>1</v>
      </c>
    </row>
    <row r="382" spans="1:19" x14ac:dyDescent="0.25">
      <c r="A382" s="6">
        <v>118</v>
      </c>
      <c r="B382" s="7" t="s">
        <v>292</v>
      </c>
      <c r="C382" s="8">
        <v>45456</v>
      </c>
      <c r="D382" s="7">
        <v>1990</v>
      </c>
      <c r="E382" s="42">
        <v>561.33146050000005</v>
      </c>
      <c r="F382" s="10">
        <v>4.8240000000000034</v>
      </c>
      <c r="G382" s="10">
        <v>0.48000000000000048</v>
      </c>
      <c r="H382" s="10">
        <v>50.230427029061417</v>
      </c>
      <c r="I382" s="10">
        <v>67.48</v>
      </c>
      <c r="J382" s="10">
        <v>87.372</v>
      </c>
      <c r="K382" s="10">
        <v>60.504873691228291</v>
      </c>
      <c r="L382" s="6" t="s">
        <v>68</v>
      </c>
      <c r="M382" s="6" t="s">
        <v>297</v>
      </c>
      <c r="N382" s="11" t="str">
        <f>VLOOKUP(Séparateur[[#This Row],[Puits]],Puits!$A$1:$F$267,3,FALSE)</f>
        <v>Centre</v>
      </c>
      <c r="O382" s="34">
        <f>(Séparateur[[#This Row],[Qw (sm3/j)]]/(Séparateur[[#This Row],[Qg (Msm3/j)]]*1000))*1000000</f>
        <v>0.85510974135040563</v>
      </c>
      <c r="P382" s="34">
        <f>(Séparateur[[#This Row],[Qc (sm3/j)]]/(Séparateur[[#This Row],[Qg (Msm3/j)]]*1000))*1000000</f>
        <v>8.5938529005715729</v>
      </c>
      <c r="Q382" s="46" t="s">
        <v>351</v>
      </c>
      <c r="R382" s="46">
        <v>0.69</v>
      </c>
      <c r="S382" s="34">
        <v>1</v>
      </c>
    </row>
    <row r="383" spans="1:19" x14ac:dyDescent="0.25">
      <c r="A383" s="6">
        <v>119</v>
      </c>
      <c r="B383" s="7" t="s">
        <v>107</v>
      </c>
      <c r="C383" s="8">
        <v>45457</v>
      </c>
      <c r="D383" s="7">
        <v>2005</v>
      </c>
      <c r="E383" s="42">
        <v>895.56051900000011</v>
      </c>
      <c r="F383" s="10">
        <v>8.9712000000000032</v>
      </c>
      <c r="G383" s="10">
        <v>0.66240000000000021</v>
      </c>
      <c r="H383" s="10">
        <v>42.185820718299858</v>
      </c>
      <c r="I383" s="10">
        <v>58.998000000000012</v>
      </c>
      <c r="J383" s="10">
        <v>84.659000000000006</v>
      </c>
      <c r="K383" s="10">
        <v>55.305330372648243</v>
      </c>
      <c r="L383" s="6" t="s">
        <v>67</v>
      </c>
      <c r="M383" s="6" t="s">
        <v>297</v>
      </c>
      <c r="N383" s="11" t="str">
        <f>VLOOKUP(Séparateur[[#This Row],[Puits]],Puits!$A$1:$F$267,3,FALSE)</f>
        <v>Centre</v>
      </c>
      <c r="O383" s="34">
        <f>(Séparateur[[#This Row],[Qw (sm3/j)]]/(Séparateur[[#This Row],[Qg (Msm3/j)]]*1000))*1000000</f>
        <v>0.73964850609945232</v>
      </c>
      <c r="P383" s="34">
        <f>(Séparateur[[#This Row],[Qc (sm3/j)]]/(Séparateur[[#This Row],[Qg (Msm3/j)]]*1000))*1000000</f>
        <v>10.017413463042582</v>
      </c>
      <c r="Q383" s="46">
        <v>0.75700000000000001</v>
      </c>
      <c r="R383" s="46">
        <v>0.68200000000000005</v>
      </c>
      <c r="S383" s="34">
        <v>6</v>
      </c>
    </row>
    <row r="384" spans="1:19" x14ac:dyDescent="0.25">
      <c r="A384" s="6">
        <v>119</v>
      </c>
      <c r="B384" s="7" t="s">
        <v>107</v>
      </c>
      <c r="C384" s="8">
        <v>45457</v>
      </c>
      <c r="D384" s="7">
        <v>2005</v>
      </c>
      <c r="E384" s="42">
        <v>728.08304850000002</v>
      </c>
      <c r="F384" s="10">
        <v>6.6240000000000059</v>
      </c>
      <c r="G384" s="10">
        <v>0.5760000000000004</v>
      </c>
      <c r="H384" s="10">
        <v>47.637101967841851</v>
      </c>
      <c r="I384" s="10">
        <v>58.928500000000007</v>
      </c>
      <c r="J384" s="10">
        <v>85.781999999999996</v>
      </c>
      <c r="K384" s="10">
        <v>59.460455856241609</v>
      </c>
      <c r="L384" s="6" t="s">
        <v>68</v>
      </c>
      <c r="M384" s="6" t="s">
        <v>297</v>
      </c>
      <c r="N384" s="11" t="str">
        <f>VLOOKUP(Séparateur[[#This Row],[Puits]],Puits!$A$1:$F$267,3,FALSE)</f>
        <v>Centre</v>
      </c>
      <c r="O384" s="34">
        <f>(Séparateur[[#This Row],[Qw (sm3/j)]]/(Séparateur[[#This Row],[Qg (Msm3/j)]]*1000))*1000000</f>
        <v>0.79111854229634682</v>
      </c>
      <c r="P384" s="34">
        <f>(Séparateur[[#This Row],[Qc (sm3/j)]]/(Séparateur[[#This Row],[Qg (Msm3/j)]]*1000))*1000000</f>
        <v>9.0978632364079903</v>
      </c>
      <c r="Q384" s="46" t="s">
        <v>346</v>
      </c>
      <c r="R384" s="46">
        <v>0.68799999999999994</v>
      </c>
      <c r="S384" s="34">
        <v>6</v>
      </c>
    </row>
    <row r="385" spans="1:19" x14ac:dyDescent="0.25">
      <c r="A385" s="6">
        <v>119</v>
      </c>
      <c r="B385" s="7" t="s">
        <v>107</v>
      </c>
      <c r="C385" s="8">
        <v>45457</v>
      </c>
      <c r="D385" s="7">
        <v>2005</v>
      </c>
      <c r="E385" s="42">
        <v>541.0970974999999</v>
      </c>
      <c r="F385" s="10">
        <v>6.0480000000000054</v>
      </c>
      <c r="G385" s="10">
        <v>0.48000000000000048</v>
      </c>
      <c r="H385" s="10">
        <v>52.336878803922488</v>
      </c>
      <c r="I385" s="10">
        <v>59.522500000000001</v>
      </c>
      <c r="J385" s="10">
        <v>86.707999999999998</v>
      </c>
      <c r="K385" s="10">
        <v>63.136326760287027</v>
      </c>
      <c r="L385" s="6" t="s">
        <v>68</v>
      </c>
      <c r="M385" s="6" t="s">
        <v>297</v>
      </c>
      <c r="N385" s="11" t="str">
        <f>VLOOKUP(Séparateur[[#This Row],[Puits]],Puits!$A$1:$F$267,3,FALSE)</f>
        <v>Centre</v>
      </c>
      <c r="O385" s="34">
        <f>(Séparateur[[#This Row],[Qw (sm3/j)]]/(Séparateur[[#This Row],[Qg (Msm3/j)]]*1000))*1000000</f>
        <v>0.88708662866187449</v>
      </c>
      <c r="P385" s="34">
        <f>(Séparateur[[#This Row],[Qc (sm3/j)]]/(Séparateur[[#This Row],[Qg (Msm3/j)]]*1000))*1000000</f>
        <v>11.177291521139617</v>
      </c>
      <c r="Q385" s="46" t="s">
        <v>347</v>
      </c>
      <c r="R385" s="46">
        <v>0.69199999999999995</v>
      </c>
      <c r="S385" s="34">
        <v>6</v>
      </c>
    </row>
    <row r="386" spans="1:19" x14ac:dyDescent="0.25">
      <c r="A386" s="6">
        <v>120</v>
      </c>
      <c r="B386" s="7" t="s">
        <v>164</v>
      </c>
      <c r="C386" s="8">
        <v>45458</v>
      </c>
      <c r="D386" s="7">
        <v>2030</v>
      </c>
      <c r="E386" s="42">
        <v>703.02964759999998</v>
      </c>
      <c r="F386" s="10">
        <v>2.8319999999999994</v>
      </c>
      <c r="G386" s="10">
        <v>0.61439999999999984</v>
      </c>
      <c r="H386" s="10">
        <v>39.621288163542559</v>
      </c>
      <c r="I386" s="10">
        <v>54.616200000000013</v>
      </c>
      <c r="J386" s="10">
        <v>85.903000000000006</v>
      </c>
      <c r="K386" s="10">
        <v>50.084206463736088</v>
      </c>
      <c r="L386" s="6" t="s">
        <v>67</v>
      </c>
      <c r="M386" s="6" t="s">
        <v>297</v>
      </c>
      <c r="N386" s="11" t="str">
        <f>VLOOKUP(Séparateur[[#This Row],[Puits]],Puits!$A$1:$F$267,3,FALSE)</f>
        <v>Centre</v>
      </c>
      <c r="O386" s="34">
        <f>(Séparateur[[#This Row],[Qw (sm3/j)]]/(Séparateur[[#This Row],[Qg (Msm3/j)]]*1000))*1000000</f>
        <v>0.87393184924339429</v>
      </c>
      <c r="P386" s="34">
        <f>(Séparateur[[#This Row],[Qc (sm3/j)]]/(Séparateur[[#This Row],[Qg (Msm3/j)]]*1000))*1000000</f>
        <v>4.0282796176062705</v>
      </c>
      <c r="Q386" s="46" t="s">
        <v>334</v>
      </c>
      <c r="R386" s="46">
        <v>0.68400000000000005</v>
      </c>
      <c r="S386" s="34">
        <v>9</v>
      </c>
    </row>
    <row r="387" spans="1:19" x14ac:dyDescent="0.25">
      <c r="A387" s="6">
        <v>120</v>
      </c>
      <c r="B387" s="7" t="s">
        <v>164</v>
      </c>
      <c r="C387" s="8">
        <v>45458</v>
      </c>
      <c r="D387" s="7">
        <v>2030</v>
      </c>
      <c r="E387" s="42">
        <v>525.40447350000011</v>
      </c>
      <c r="F387" s="10">
        <v>2.1599999999999993</v>
      </c>
      <c r="G387" s="10">
        <v>0.5279999999999998</v>
      </c>
      <c r="H387" s="10">
        <v>46.628364501854755</v>
      </c>
      <c r="I387" s="10">
        <v>61.319000000000003</v>
      </c>
      <c r="J387" s="10">
        <v>87.421999999999997</v>
      </c>
      <c r="K387" s="10">
        <v>56.139871795587169</v>
      </c>
      <c r="L387" s="6" t="s">
        <v>68</v>
      </c>
      <c r="M387" s="6" t="s">
        <v>297</v>
      </c>
      <c r="N387" s="11" t="str">
        <f>VLOOKUP(Séparateur[[#This Row],[Puits]],Puits!$A$1:$F$267,3,FALSE)</f>
        <v>Centre</v>
      </c>
      <c r="O387" s="34">
        <f>(Séparateur[[#This Row],[Qw (sm3/j)]]/(Séparateur[[#This Row],[Qg (Msm3/j)]]*1000))*1000000</f>
        <v>1.0049400540553253</v>
      </c>
      <c r="P387" s="34">
        <f>(Séparateur[[#This Row],[Qc (sm3/j)]]/(Séparateur[[#This Row],[Qg (Msm3/j)]]*1000))*1000000</f>
        <v>4.1111184029536032</v>
      </c>
      <c r="Q387" s="46" t="s">
        <v>334</v>
      </c>
      <c r="R387" s="46">
        <v>0.69</v>
      </c>
      <c r="S387" s="34">
        <v>9</v>
      </c>
    </row>
    <row r="388" spans="1:19" x14ac:dyDescent="0.25">
      <c r="A388" s="6">
        <v>120</v>
      </c>
      <c r="B388" s="7" t="s">
        <v>164</v>
      </c>
      <c r="C388" s="8">
        <v>45458</v>
      </c>
      <c r="D388" s="7">
        <v>2030</v>
      </c>
      <c r="E388" s="42">
        <v>355.3817335</v>
      </c>
      <c r="F388" s="10">
        <v>1.76</v>
      </c>
      <c r="G388" s="10">
        <v>0.48</v>
      </c>
      <c r="H388" s="10">
        <v>51.403621693418074</v>
      </c>
      <c r="I388" s="10">
        <v>62.611500000000007</v>
      </c>
      <c r="J388" s="10">
        <v>88.387</v>
      </c>
      <c r="K388" s="10">
        <v>60.522455322329527</v>
      </c>
      <c r="L388" s="6" t="s">
        <v>68</v>
      </c>
      <c r="M388" s="6" t="s">
        <v>297</v>
      </c>
      <c r="N388" s="11" t="str">
        <f>VLOOKUP(Séparateur[[#This Row],[Puits]],Puits!$A$1:$F$267,3,FALSE)</f>
        <v>Centre</v>
      </c>
      <c r="O388" s="34">
        <f>(Séparateur[[#This Row],[Qw (sm3/j)]]/(Séparateur[[#This Row],[Qg (Msm3/j)]]*1000))*1000000</f>
        <v>1.3506603034227138</v>
      </c>
      <c r="P388" s="34">
        <f>(Séparateur[[#This Row],[Qc (sm3/j)]]/(Séparateur[[#This Row],[Qg (Msm3/j)]]*1000))*1000000</f>
        <v>4.9524211125499509</v>
      </c>
      <c r="Q388" s="46" t="s">
        <v>335</v>
      </c>
      <c r="R388" s="46">
        <v>0.69199999999999995</v>
      </c>
      <c r="S388" s="34">
        <v>9</v>
      </c>
    </row>
    <row r="389" spans="1:19" x14ac:dyDescent="0.25">
      <c r="A389" s="6">
        <v>121</v>
      </c>
      <c r="B389" s="7" t="s">
        <v>273</v>
      </c>
      <c r="C389" s="8">
        <v>45461</v>
      </c>
      <c r="D389" s="7">
        <v>2000</v>
      </c>
      <c r="E389" s="42">
        <v>904.70500000000004</v>
      </c>
      <c r="F389" s="10">
        <v>9.6999999999999993</v>
      </c>
      <c r="G389" s="10">
        <v>0.75</v>
      </c>
      <c r="H389" s="10">
        <v>40.885910757004311</v>
      </c>
      <c r="I389" s="10">
        <v>61.666666666666671</v>
      </c>
      <c r="J389" s="10">
        <v>86.825000000000003</v>
      </c>
      <c r="K389" s="10">
        <v>54.035453974127996</v>
      </c>
      <c r="L389" s="6" t="s">
        <v>67</v>
      </c>
      <c r="M389" s="6" t="s">
        <v>297</v>
      </c>
      <c r="N389" s="11" t="str">
        <f>VLOOKUP(Séparateur[[#This Row],[Puits]],Puits!$A$1:$F$267,3,FALSE)</f>
        <v>Centre</v>
      </c>
      <c r="O389" s="34">
        <f>(Séparateur[[#This Row],[Qw (sm3/j)]]/(Séparateur[[#This Row],[Qg (Msm3/j)]]*1000))*1000000</f>
        <v>0.82899950812695855</v>
      </c>
      <c r="P389" s="34">
        <f>(Séparateur[[#This Row],[Qc (sm3/j)]]/(Séparateur[[#This Row],[Qg (Msm3/j)]]*1000))*1000000</f>
        <v>10.721726971775329</v>
      </c>
      <c r="Q389" s="46" t="s">
        <v>329</v>
      </c>
      <c r="R389" s="46">
        <v>0.68</v>
      </c>
      <c r="S389" s="34">
        <v>20</v>
      </c>
    </row>
    <row r="390" spans="1:19" x14ac:dyDescent="0.25">
      <c r="A390" s="6">
        <v>121</v>
      </c>
      <c r="B390" s="7" t="s">
        <v>273</v>
      </c>
      <c r="C390" s="8">
        <v>45461</v>
      </c>
      <c r="D390" s="7">
        <v>2000</v>
      </c>
      <c r="E390" s="42">
        <v>775.92200000000003</v>
      </c>
      <c r="F390" s="10">
        <v>7.68</v>
      </c>
      <c r="G390" s="10">
        <v>0.67</v>
      </c>
      <c r="H390" s="10">
        <v>44.60907969609071</v>
      </c>
      <c r="I390" s="10">
        <v>62.222222222222229</v>
      </c>
      <c r="J390" s="10">
        <v>87.444999999999993</v>
      </c>
      <c r="K390" s="10">
        <v>56.350506630937332</v>
      </c>
      <c r="L390" s="6" t="s">
        <v>68</v>
      </c>
      <c r="M390" s="6" t="s">
        <v>297</v>
      </c>
      <c r="N390" s="11" t="str">
        <f>VLOOKUP(Séparateur[[#This Row],[Puits]],Puits!$A$1:$F$267,3,FALSE)</f>
        <v>Centre</v>
      </c>
      <c r="O390" s="34">
        <f>(Séparateur[[#This Row],[Qw (sm3/j)]]/(Séparateur[[#This Row],[Qg (Msm3/j)]]*1000))*1000000</f>
        <v>0.86348885583860246</v>
      </c>
      <c r="P390" s="34">
        <f>(Séparateur[[#This Row],[Qc (sm3/j)]]/(Séparateur[[#This Row],[Qg (Msm3/j)]]*1000))*1000000</f>
        <v>9.8979021087171137</v>
      </c>
      <c r="Q390" s="46" t="s">
        <v>329</v>
      </c>
      <c r="R390" s="46">
        <v>0.68400000000000005</v>
      </c>
      <c r="S390" s="34">
        <v>20</v>
      </c>
    </row>
    <row r="391" spans="1:19" x14ac:dyDescent="0.25">
      <c r="A391" s="6">
        <v>121</v>
      </c>
      <c r="B391" s="7" t="s">
        <v>273</v>
      </c>
      <c r="C391" s="8">
        <v>45461</v>
      </c>
      <c r="D391" s="7">
        <v>2000</v>
      </c>
      <c r="E391" s="42">
        <v>638.56799999999998</v>
      </c>
      <c r="F391" s="10">
        <v>6.96</v>
      </c>
      <c r="G391" s="10">
        <v>0.6</v>
      </c>
      <c r="H391" s="10">
        <v>47.711720478662706</v>
      </c>
      <c r="I391" s="10">
        <v>62.777777777777779</v>
      </c>
      <c r="J391" s="10">
        <v>88.004999999999995</v>
      </c>
      <c r="K391" s="10">
        <v>58.482917167012594</v>
      </c>
      <c r="L391" s="6" t="s">
        <v>68</v>
      </c>
      <c r="M391" s="6" t="s">
        <v>297</v>
      </c>
      <c r="N391" s="11" t="str">
        <f>VLOOKUP(Séparateur[[#This Row],[Puits]],Puits!$A$1:$F$267,3,FALSE)</f>
        <v>Centre</v>
      </c>
      <c r="O391" s="34">
        <f>(Séparateur[[#This Row],[Qw (sm3/j)]]/(Séparateur[[#This Row],[Qg (Msm3/j)]]*1000))*1000000</f>
        <v>0.93960236028112898</v>
      </c>
      <c r="P391" s="34">
        <f>(Séparateur[[#This Row],[Qc (sm3/j)]]/(Séparateur[[#This Row],[Qg (Msm3/j)]]*1000))*1000000</f>
        <v>10.899387379261096</v>
      </c>
      <c r="Q391" s="46" t="s">
        <v>330</v>
      </c>
      <c r="R391" s="46">
        <v>0.68799999999999994</v>
      </c>
      <c r="S391" s="34">
        <v>20</v>
      </c>
    </row>
    <row r="392" spans="1:19" x14ac:dyDescent="0.25">
      <c r="A392" s="6">
        <v>122</v>
      </c>
      <c r="B392" s="7" t="s">
        <v>210</v>
      </c>
      <c r="C392" s="8">
        <v>45462</v>
      </c>
      <c r="D392" s="7">
        <v>1945</v>
      </c>
      <c r="E392" s="42">
        <v>429.26909279999995</v>
      </c>
      <c r="F392" s="10">
        <v>1.8239999999999994</v>
      </c>
      <c r="G392" s="10">
        <v>0.71039999999999981</v>
      </c>
      <c r="H392" s="10">
        <v>36.082809088106728</v>
      </c>
      <c r="I392" s="10">
        <v>46.604600000000005</v>
      </c>
      <c r="J392" s="10">
        <v>87.241</v>
      </c>
      <c r="K392" s="10">
        <v>56.249222646279598</v>
      </c>
      <c r="L392" s="6" t="s">
        <v>67</v>
      </c>
      <c r="M392" s="6" t="s">
        <v>297</v>
      </c>
      <c r="N392" s="11" t="str">
        <f>VLOOKUP(Séparateur[[#This Row],[Puits]],Puits!$A$1:$F$267,3,FALSE)</f>
        <v>Centre</v>
      </c>
      <c r="O392" s="34">
        <f>(Séparateur[[#This Row],[Qw (sm3/j)]]/(Séparateur[[#This Row],[Qg (Msm3/j)]]*1000))*1000000</f>
        <v>1.6549060063147409</v>
      </c>
      <c r="P392" s="34">
        <f>(Séparateur[[#This Row],[Qc (sm3/j)]]/(Séparateur[[#This Row],[Qg (Msm3/j)]]*1000))*1000000</f>
        <v>4.2490829891864967</v>
      </c>
      <c r="Q392" s="46">
        <v>0.77600000000000002</v>
      </c>
      <c r="R392" s="46">
        <v>0.69</v>
      </c>
      <c r="S392" s="34">
        <v>0</v>
      </c>
    </row>
    <row r="393" spans="1:19" x14ac:dyDescent="0.25">
      <c r="A393" s="6">
        <v>122</v>
      </c>
      <c r="B393" s="7" t="s">
        <v>210</v>
      </c>
      <c r="C393" s="8">
        <v>45462</v>
      </c>
      <c r="D393" s="7">
        <v>1945</v>
      </c>
      <c r="E393" s="42">
        <v>342.06403299999999</v>
      </c>
      <c r="F393" s="10">
        <v>1.5600000000000014</v>
      </c>
      <c r="G393" s="10">
        <v>0.60000000000000042</v>
      </c>
      <c r="H393" s="10">
        <v>44.511415459012632</v>
      </c>
      <c r="I393" s="10">
        <v>49.273500000000006</v>
      </c>
      <c r="J393" s="10">
        <v>87.956999999999994</v>
      </c>
      <c r="K393" s="10">
        <v>59.716802932455003</v>
      </c>
      <c r="L393" s="6" t="s">
        <v>68</v>
      </c>
      <c r="M393" s="6" t="s">
        <v>297</v>
      </c>
      <c r="N393" s="11" t="str">
        <f>VLOOKUP(Séparateur[[#This Row],[Puits]],Puits!$A$1:$F$267,3,FALSE)</f>
        <v>Centre</v>
      </c>
      <c r="O393" s="34">
        <f>(Séparateur[[#This Row],[Qw (sm3/j)]]/(Séparateur[[#This Row],[Qg (Msm3/j)]]*1000))*1000000</f>
        <v>1.7540575509732133</v>
      </c>
      <c r="P393" s="34">
        <f>(Séparateur[[#This Row],[Qc (sm3/j)]]/(Séparateur[[#This Row],[Qg (Msm3/j)]]*1000))*1000000</f>
        <v>4.5605496325303552</v>
      </c>
      <c r="Q393" s="46">
        <v>0.77600000000000002</v>
      </c>
      <c r="R393" s="46">
        <v>0.69199999999999995</v>
      </c>
      <c r="S393" s="34">
        <v>0</v>
      </c>
    </row>
    <row r="394" spans="1:19" x14ac:dyDescent="0.25">
      <c r="A394" s="6">
        <v>122</v>
      </c>
      <c r="B394" s="7" t="s">
        <v>210</v>
      </c>
      <c r="C394" s="8">
        <v>45462</v>
      </c>
      <c r="D394" s="7">
        <v>1945</v>
      </c>
      <c r="E394" s="42">
        <v>244.47103700000002</v>
      </c>
      <c r="F394" s="10">
        <v>1.2480000000000011</v>
      </c>
      <c r="G394" s="10">
        <v>0.55200000000000049</v>
      </c>
      <c r="H394" s="10">
        <v>51.117696108410826</v>
      </c>
      <c r="I394" s="10">
        <v>51.236499999999999</v>
      </c>
      <c r="J394" s="10">
        <v>88.471000000000004</v>
      </c>
      <c r="K394" s="10">
        <v>62.850401175279771</v>
      </c>
      <c r="L394" s="6" t="s">
        <v>68</v>
      </c>
      <c r="M394" s="6" t="s">
        <v>297</v>
      </c>
      <c r="N394" s="11" t="str">
        <f>VLOOKUP(Séparateur[[#This Row],[Puits]],Puits!$A$1:$F$267,3,FALSE)</f>
        <v>Centre</v>
      </c>
      <c r="O394" s="34">
        <f>(Séparateur[[#This Row],[Qw (sm3/j)]]/(Séparateur[[#This Row],[Qg (Msm3/j)]]*1000))*1000000</f>
        <v>2.2579361824362061</v>
      </c>
      <c r="P394" s="34">
        <f>(Séparateur[[#This Row],[Qc (sm3/j)]]/(Séparateur[[#This Row],[Qg (Msm3/j)]]*1000))*1000000</f>
        <v>5.1048991950731617</v>
      </c>
      <c r="Q394" s="46">
        <v>0.77500000000000002</v>
      </c>
      <c r="R394" s="46">
        <v>0.69399999999999995</v>
      </c>
      <c r="S394" s="34">
        <v>0</v>
      </c>
    </row>
    <row r="395" spans="1:19" x14ac:dyDescent="0.25">
      <c r="A395" s="6">
        <v>123</v>
      </c>
      <c r="B395" s="7" t="s">
        <v>202</v>
      </c>
      <c r="C395" s="8">
        <v>45463</v>
      </c>
      <c r="D395" s="7">
        <v>2105</v>
      </c>
      <c r="E395" s="42">
        <v>629.69294860000002</v>
      </c>
      <c r="F395" s="10">
        <v>3.0335999999999994</v>
      </c>
      <c r="G395" s="10">
        <v>0.67199999999999993</v>
      </c>
      <c r="H395" s="10">
        <v>38.08008927596503</v>
      </c>
      <c r="I395" s="10">
        <v>60.280799999999999</v>
      </c>
      <c r="J395" s="10">
        <v>86.727999999999994</v>
      </c>
      <c r="K395" s="10">
        <v>63.316279925676199</v>
      </c>
      <c r="L395" s="6" t="s">
        <v>67</v>
      </c>
      <c r="M395" s="6" t="s">
        <v>303</v>
      </c>
      <c r="N395" s="11" t="str">
        <f>VLOOKUP(Séparateur[[#This Row],[Puits]],Puits!$A$1:$F$267,3,FALSE)</f>
        <v>Centre</v>
      </c>
      <c r="O395" s="34">
        <f>(Séparateur[[#This Row],[Qw (sm3/j)]]/(Séparateur[[#This Row],[Qg (Msm3/j)]]*1000))*1000000</f>
        <v>1.0671867955549788</v>
      </c>
      <c r="P395" s="34">
        <f>(Séparateur[[#This Row],[Qc (sm3/j)]]/(Séparateur[[#This Row],[Qg (Msm3/j)]]*1000))*1000000</f>
        <v>4.8175861056481892</v>
      </c>
      <c r="Q395" s="46">
        <v>0.77800000000000002</v>
      </c>
      <c r="R395" s="46">
        <v>0.68200000000000005</v>
      </c>
      <c r="S395" s="34">
        <v>0</v>
      </c>
    </row>
    <row r="396" spans="1:19" x14ac:dyDescent="0.25">
      <c r="A396" s="6">
        <v>123</v>
      </c>
      <c r="B396" s="7" t="s">
        <v>202</v>
      </c>
      <c r="C396" s="8">
        <v>45463</v>
      </c>
      <c r="D396" s="7">
        <v>2105</v>
      </c>
      <c r="E396" s="42">
        <v>460.28432799999996</v>
      </c>
      <c r="F396" s="10">
        <v>1.4520000000000013</v>
      </c>
      <c r="G396" s="10">
        <v>0.52800000000000047</v>
      </c>
      <c r="H396" s="10">
        <v>48.762808991331916</v>
      </c>
      <c r="I396" s="10">
        <v>61.955000000000005</v>
      </c>
      <c r="J396" s="10">
        <v>87.438000000000002</v>
      </c>
      <c r="K396" s="10">
        <v>66.127272474686421</v>
      </c>
      <c r="L396" s="6" t="s">
        <v>68</v>
      </c>
      <c r="M396" s="6" t="s">
        <v>303</v>
      </c>
      <c r="N396" s="11" t="str">
        <f>VLOOKUP(Séparateur[[#This Row],[Puits]],Puits!$A$1:$F$267,3,FALSE)</f>
        <v>Centre</v>
      </c>
      <c r="O396" s="34">
        <f>(Séparateur[[#This Row],[Qw (sm3/j)]]/(Séparateur[[#This Row],[Qg (Msm3/j)]]*1000))*1000000</f>
        <v>1.1471170489211193</v>
      </c>
      <c r="P396" s="34">
        <f>(Séparateur[[#This Row],[Qc (sm3/j)]]/(Séparateur[[#This Row],[Qg (Msm3/j)]]*1000))*1000000</f>
        <v>3.1545718845330781</v>
      </c>
      <c r="Q396" s="46">
        <v>0.77800000000000002</v>
      </c>
      <c r="R396" s="46">
        <v>0.68400000000000005</v>
      </c>
      <c r="S396" s="34">
        <v>0</v>
      </c>
    </row>
    <row r="397" spans="1:19" x14ac:dyDescent="0.25">
      <c r="A397" s="6">
        <v>123</v>
      </c>
      <c r="B397" s="7" t="s">
        <v>202</v>
      </c>
      <c r="C397" s="8">
        <v>45463</v>
      </c>
      <c r="D397" s="7">
        <v>2105</v>
      </c>
      <c r="E397" s="42">
        <v>302.36539500000003</v>
      </c>
      <c r="F397" s="10">
        <v>0.96000000000000096</v>
      </c>
      <c r="G397" s="10">
        <v>0.24000000000000024</v>
      </c>
      <c r="H397" s="10">
        <v>55.195634784091091</v>
      </c>
      <c r="I397" s="10">
        <v>61.626000000000012</v>
      </c>
      <c r="J397" s="10">
        <v>87.900999999999996</v>
      </c>
      <c r="K397" s="10">
        <v>68.059666101645206</v>
      </c>
      <c r="L397" s="6" t="s">
        <v>68</v>
      </c>
      <c r="M397" s="6" t="s">
        <v>303</v>
      </c>
      <c r="N397" s="11" t="str">
        <f>VLOOKUP(Séparateur[[#This Row],[Puits]],Puits!$A$1:$F$267,3,FALSE)</f>
        <v>Centre</v>
      </c>
      <c r="O397" s="34">
        <f>(Séparateur[[#This Row],[Qw (sm3/j)]]/(Séparateur[[#This Row],[Qg (Msm3/j)]]*1000))*1000000</f>
        <v>0.79374162509569002</v>
      </c>
      <c r="P397" s="34">
        <f>(Séparateur[[#This Row],[Qc (sm3/j)]]/(Séparateur[[#This Row],[Qg (Msm3/j)]]*1000))*1000000</f>
        <v>3.1749665003827601</v>
      </c>
      <c r="Q397" s="46">
        <v>0.77700000000000002</v>
      </c>
      <c r="R397" s="46">
        <v>0.68600000000000005</v>
      </c>
      <c r="S397" s="34">
        <v>0</v>
      </c>
    </row>
    <row r="398" spans="1:19" x14ac:dyDescent="0.25">
      <c r="A398" s="6">
        <v>124</v>
      </c>
      <c r="B398" s="7" t="s">
        <v>254</v>
      </c>
      <c r="C398" s="8">
        <v>45464</v>
      </c>
      <c r="D398" s="7">
        <v>2200</v>
      </c>
      <c r="E398" s="42">
        <v>628.03167360000009</v>
      </c>
      <c r="F398" s="10">
        <v>8.9712000000000032</v>
      </c>
      <c r="G398" s="10">
        <v>0.60480000000000023</v>
      </c>
      <c r="H398" s="10">
        <v>37.646202199415583</v>
      </c>
      <c r="I398" s="10">
        <v>62.993800000000014</v>
      </c>
      <c r="J398" s="10">
        <v>88.369</v>
      </c>
      <c r="K398" s="10">
        <v>48.734144037879595</v>
      </c>
      <c r="L398" s="6" t="s">
        <v>67</v>
      </c>
      <c r="M398" s="6" t="s">
        <v>298</v>
      </c>
      <c r="N398" s="11" t="str">
        <f>VLOOKUP(Séparateur[[#This Row],[Puits]],Puits!$A$1:$F$267,3,FALSE)</f>
        <v>Centre</v>
      </c>
      <c r="O398" s="34">
        <f>(Séparateur[[#This Row],[Qw (sm3/j)]]/(Séparateur[[#This Row],[Qg (Msm3/j)]]*1000))*1000000</f>
        <v>0.96300875485016324</v>
      </c>
      <c r="P398" s="34">
        <f>(Séparateur[[#This Row],[Qc (sm3/j)]]/(Séparateur[[#This Row],[Qg (Msm3/j)]]*1000))*1000000</f>
        <v>14.284629863610753</v>
      </c>
      <c r="Q398" s="46">
        <v>0.751</v>
      </c>
      <c r="R398" s="46">
        <v>0.68200000000000005</v>
      </c>
      <c r="S398" s="34">
        <v>5</v>
      </c>
    </row>
    <row r="399" spans="1:19" x14ac:dyDescent="0.25">
      <c r="A399" s="6">
        <v>124</v>
      </c>
      <c r="B399" s="7" t="s">
        <v>254</v>
      </c>
      <c r="C399" s="8">
        <v>45464</v>
      </c>
      <c r="D399" s="7">
        <v>2200</v>
      </c>
      <c r="E399" s="42">
        <v>491.517493</v>
      </c>
      <c r="F399" s="10">
        <v>6.7200000000000051</v>
      </c>
      <c r="G399" s="10">
        <v>0.40800000000000036</v>
      </c>
      <c r="H399" s="10">
        <v>42.415960822036453</v>
      </c>
      <c r="I399" s="10">
        <v>66.01400000000001</v>
      </c>
      <c r="J399" s="10">
        <v>89.421000000000006</v>
      </c>
      <c r="K399" s="10">
        <v>52.790743439733063</v>
      </c>
      <c r="L399" s="6" t="s">
        <v>68</v>
      </c>
      <c r="M399" s="6" t="s">
        <v>298</v>
      </c>
      <c r="N399" s="11" t="str">
        <f>VLOOKUP(Séparateur[[#This Row],[Puits]],Puits!$A$1:$F$267,3,FALSE)</f>
        <v>Centre</v>
      </c>
      <c r="O399" s="34">
        <f>(Séparateur[[#This Row],[Qw (sm3/j)]]/(Séparateur[[#This Row],[Qg (Msm3/j)]]*1000))*1000000</f>
        <v>0.83008235883885495</v>
      </c>
      <c r="P399" s="34">
        <f>(Séparateur[[#This Row],[Qc (sm3/j)]]/(Séparateur[[#This Row],[Qg (Msm3/j)]]*1000))*1000000</f>
        <v>13.671944733816431</v>
      </c>
      <c r="Q399" s="46">
        <v>0.751</v>
      </c>
      <c r="R399" s="46">
        <v>0.68400000000000005</v>
      </c>
      <c r="S399" s="34">
        <v>5</v>
      </c>
    </row>
    <row r="400" spans="1:19" x14ac:dyDescent="0.25">
      <c r="A400" s="6">
        <v>124</v>
      </c>
      <c r="B400" s="7" t="s">
        <v>254</v>
      </c>
      <c r="C400" s="8">
        <v>45464</v>
      </c>
      <c r="D400" s="7">
        <v>2200</v>
      </c>
      <c r="E400" s="42">
        <v>347.38214950000003</v>
      </c>
      <c r="F400" s="10">
        <v>3.3600000000000025</v>
      </c>
      <c r="G400" s="10">
        <v>0.26400000000000023</v>
      </c>
      <c r="H400" s="10">
        <v>46.587875039642185</v>
      </c>
      <c r="I400" s="10">
        <v>64.944999999999993</v>
      </c>
      <c r="J400" s="10">
        <v>90.319000000000003</v>
      </c>
      <c r="K400" s="10">
        <v>56.554039866274053</v>
      </c>
      <c r="L400" s="6" t="s">
        <v>68</v>
      </c>
      <c r="M400" s="6" t="s">
        <v>298</v>
      </c>
      <c r="N400" s="11" t="str">
        <f>VLOOKUP(Séparateur[[#This Row],[Puits]],Puits!$A$1:$F$267,3,FALSE)</f>
        <v>Centre</v>
      </c>
      <c r="O400" s="34">
        <f>(Séparateur[[#This Row],[Qw (sm3/j)]]/(Séparateur[[#This Row],[Qg (Msm3/j)]]*1000))*1000000</f>
        <v>0.75996996500823433</v>
      </c>
      <c r="P400" s="34">
        <f>(Séparateur[[#This Row],[Qc (sm3/j)]]/(Séparateur[[#This Row],[Qg (Msm3/j)]]*1000))*1000000</f>
        <v>9.6723450091957091</v>
      </c>
      <c r="Q400" s="46">
        <v>0.75</v>
      </c>
      <c r="R400" s="46">
        <v>0.68600000000000005</v>
      </c>
      <c r="S400" s="34">
        <v>5</v>
      </c>
    </row>
    <row r="401" spans="1:19" x14ac:dyDescent="0.25">
      <c r="A401" s="6">
        <v>125</v>
      </c>
      <c r="B401" s="7" t="s">
        <v>181</v>
      </c>
      <c r="C401" s="8">
        <v>45465</v>
      </c>
      <c r="D401" s="7">
        <v>2160</v>
      </c>
      <c r="E401" s="42">
        <v>1088.655972</v>
      </c>
      <c r="F401" s="10">
        <v>14.399999999999997</v>
      </c>
      <c r="G401" s="10">
        <v>0.76799999999999979</v>
      </c>
      <c r="H401" s="10">
        <v>45.99482938570408</v>
      </c>
      <c r="I401" s="10">
        <v>59.5304</v>
      </c>
      <c r="J401" s="10">
        <v>87.766000000000005</v>
      </c>
      <c r="K401" s="10">
        <v>62.350669166566846</v>
      </c>
      <c r="L401" s="6" t="s">
        <v>67</v>
      </c>
      <c r="M401" s="6" t="s">
        <v>298</v>
      </c>
      <c r="N401" s="11" t="str">
        <f>VLOOKUP(Séparateur[[#This Row],[Puits]],Puits!$A$1:$F$267,3,FALSE)</f>
        <v>Centre</v>
      </c>
      <c r="O401" s="34">
        <f>(Séparateur[[#This Row],[Qw (sm3/j)]]/(Séparateur[[#This Row],[Qg (Msm3/j)]]*1000))*1000000</f>
        <v>0.70545702200952032</v>
      </c>
      <c r="P401" s="34">
        <f>(Séparateur[[#This Row],[Qc (sm3/j)]]/(Séparateur[[#This Row],[Qg (Msm3/j)]]*1000))*1000000</f>
        <v>13.227319162678507</v>
      </c>
      <c r="Q401" s="46">
        <v>0.746</v>
      </c>
      <c r="R401" s="46">
        <v>0.67800000000000005</v>
      </c>
      <c r="S401" s="34">
        <v>1</v>
      </c>
    </row>
    <row r="402" spans="1:19" x14ac:dyDescent="0.25">
      <c r="A402" s="6">
        <v>125</v>
      </c>
      <c r="B402" s="7" t="s">
        <v>181</v>
      </c>
      <c r="C402" s="8">
        <v>45465</v>
      </c>
      <c r="D402" s="7">
        <v>2160</v>
      </c>
      <c r="E402" s="42">
        <v>882.64044799999999</v>
      </c>
      <c r="F402" s="10">
        <v>10.320000000000009</v>
      </c>
      <c r="G402" s="10">
        <v>0.72000000000000064</v>
      </c>
      <c r="H402" s="10">
        <v>49.663574558085514</v>
      </c>
      <c r="I402" s="10">
        <v>61.017000000000003</v>
      </c>
      <c r="J402" s="10">
        <v>88.238</v>
      </c>
      <c r="K402" s="10">
        <v>63.850416773289204</v>
      </c>
      <c r="L402" s="6" t="s">
        <v>68</v>
      </c>
      <c r="M402" s="6" t="s">
        <v>298</v>
      </c>
      <c r="N402" s="11" t="str">
        <f>VLOOKUP(Séparateur[[#This Row],[Puits]],Puits!$A$1:$F$267,3,FALSE)</f>
        <v>Centre</v>
      </c>
      <c r="O402" s="34">
        <f>(Séparateur[[#This Row],[Qw (sm3/j)]]/(Séparateur[[#This Row],[Qg (Msm3/j)]]*1000))*1000000</f>
        <v>0.81573420029805921</v>
      </c>
      <c r="P402" s="34">
        <f>(Séparateur[[#This Row],[Qc (sm3/j)]]/(Séparateur[[#This Row],[Qg (Msm3/j)]]*1000))*1000000</f>
        <v>11.69219020427218</v>
      </c>
      <c r="Q402" s="46">
        <v>0.746</v>
      </c>
      <c r="R402" s="46">
        <v>0.68</v>
      </c>
      <c r="S402" s="34">
        <v>1</v>
      </c>
    </row>
    <row r="403" spans="1:19" x14ac:dyDescent="0.25">
      <c r="A403" s="6">
        <v>125</v>
      </c>
      <c r="B403" s="7" t="s">
        <v>181</v>
      </c>
      <c r="C403" s="8">
        <v>45465</v>
      </c>
      <c r="D403" s="7">
        <v>2160</v>
      </c>
      <c r="E403" s="42">
        <v>676.66826049999997</v>
      </c>
      <c r="F403" s="10">
        <v>9.1200000000000081</v>
      </c>
      <c r="G403" s="10">
        <v>0.6720000000000006</v>
      </c>
      <c r="H403" s="10">
        <v>52.748771604702164</v>
      </c>
      <c r="I403" s="10">
        <v>60.146000000000001</v>
      </c>
      <c r="J403" s="10">
        <v>88.611999999999995</v>
      </c>
      <c r="K403" s="10">
        <v>65.212131338973577</v>
      </c>
      <c r="L403" s="6" t="s">
        <v>68</v>
      </c>
      <c r="M403" s="6" t="s">
        <v>298</v>
      </c>
      <c r="N403" s="11" t="str">
        <f>VLOOKUP(Séparateur[[#This Row],[Puits]],Puits!$A$1:$F$267,3,FALSE)</f>
        <v>Centre</v>
      </c>
      <c r="O403" s="34">
        <f>(Séparateur[[#This Row],[Qw (sm3/j)]]/(Séparateur[[#This Row],[Qg (Msm3/j)]]*1000))*1000000</f>
        <v>0.99310110910692051</v>
      </c>
      <c r="P403" s="34">
        <f>(Séparateur[[#This Row],[Qc (sm3/j)]]/(Séparateur[[#This Row],[Qg (Msm3/j)]]*1000))*1000000</f>
        <v>13.477800766451065</v>
      </c>
      <c r="Q403" s="46">
        <v>0.745</v>
      </c>
      <c r="R403" s="46">
        <v>0.68200000000000005</v>
      </c>
      <c r="S403" s="34">
        <v>1</v>
      </c>
    </row>
    <row r="404" spans="1:19" x14ac:dyDescent="0.25">
      <c r="A404" s="6">
        <v>126</v>
      </c>
      <c r="B404" s="7" t="s">
        <v>211</v>
      </c>
      <c r="C404" s="8">
        <v>45466</v>
      </c>
      <c r="D404" s="7">
        <v>2195</v>
      </c>
      <c r="E404" s="42">
        <v>625.70519860000002</v>
      </c>
      <c r="F404" s="10">
        <v>4.8384</v>
      </c>
      <c r="G404" s="10">
        <v>0.62399999999999989</v>
      </c>
      <c r="H404" s="10">
        <v>46.992569713806283</v>
      </c>
      <c r="I404" s="10">
        <v>55.782800000000002</v>
      </c>
      <c r="J404" s="10">
        <v>84.88</v>
      </c>
      <c r="K404" s="10">
        <v>70.405607271134372</v>
      </c>
      <c r="L404" s="6" t="s">
        <v>67</v>
      </c>
      <c r="M404" s="6" t="s">
        <v>298</v>
      </c>
      <c r="N404" s="11" t="str">
        <f>VLOOKUP(Séparateur[[#This Row],[Puits]],Puits!$A$1:$F$267,3,FALSE)</f>
        <v>Centre</v>
      </c>
      <c r="O404" s="34">
        <f>(Séparateur[[#This Row],[Qw (sm3/j)]]/(Séparateur[[#This Row],[Qg (Msm3/j)]]*1000))*1000000</f>
        <v>0.99727475717987402</v>
      </c>
      <c r="P404" s="34">
        <f>(Séparateur[[#This Row],[Qc (sm3/j)]]/(Séparateur[[#This Row],[Qg (Msm3/j)]]*1000))*1000000</f>
        <v>7.7327150402870259</v>
      </c>
      <c r="Q404" s="46">
        <v>0.77800000000000002</v>
      </c>
      <c r="R404" s="46">
        <v>0.68</v>
      </c>
      <c r="S404" s="34">
        <v>0</v>
      </c>
    </row>
    <row r="405" spans="1:19" x14ac:dyDescent="0.25">
      <c r="A405" s="6">
        <v>126</v>
      </c>
      <c r="B405" s="7" t="s">
        <v>211</v>
      </c>
      <c r="C405" s="8">
        <v>45466</v>
      </c>
      <c r="D405" s="7">
        <v>2195</v>
      </c>
      <c r="E405" s="42">
        <v>497.77737300000001</v>
      </c>
      <c r="F405" s="10">
        <v>3.7680000000000038</v>
      </c>
      <c r="G405" s="10">
        <v>0.52800000000000047</v>
      </c>
      <c r="H405" s="10">
        <v>55.881456292185391</v>
      </c>
      <c r="I405" s="10">
        <v>57.116499999999995</v>
      </c>
      <c r="J405" s="10">
        <v>85.888000000000005</v>
      </c>
      <c r="K405" s="10">
        <v>74.350097919377561</v>
      </c>
      <c r="L405" s="6" t="s">
        <v>68</v>
      </c>
      <c r="M405" s="6" t="s">
        <v>298</v>
      </c>
      <c r="N405" s="11" t="str">
        <f>VLOOKUP(Séparateur[[#This Row],[Puits]],Puits!$A$1:$F$267,3,FALSE)</f>
        <v>Centre</v>
      </c>
      <c r="O405" s="34">
        <f>(Séparateur[[#This Row],[Qw (sm3/j)]]/(Séparateur[[#This Row],[Qg (Msm3/j)]]*1000))*1000000</f>
        <v>1.0607151482556449</v>
      </c>
      <c r="P405" s="34">
        <f>(Séparateur[[#This Row],[Qc (sm3/j)]]/(Séparateur[[#This Row],[Qg (Msm3/j)]]*1000))*1000000</f>
        <v>7.5696490125516487</v>
      </c>
      <c r="Q405" s="46">
        <v>0.77800000000000002</v>
      </c>
      <c r="R405" s="46">
        <v>0.68200000000000005</v>
      </c>
      <c r="S405" s="34">
        <v>0</v>
      </c>
    </row>
    <row r="406" spans="1:19" x14ac:dyDescent="0.25">
      <c r="A406" s="6">
        <v>126</v>
      </c>
      <c r="B406" s="7" t="s">
        <v>211</v>
      </c>
      <c r="C406" s="8">
        <v>45466</v>
      </c>
      <c r="D406" s="7">
        <v>2195</v>
      </c>
      <c r="E406" s="42">
        <v>354.34683900000005</v>
      </c>
      <c r="F406" s="10">
        <v>2.8560000000000021</v>
      </c>
      <c r="G406" s="10">
        <v>0.45600000000000046</v>
      </c>
      <c r="H406" s="10">
        <v>62.770163437263818</v>
      </c>
      <c r="I406" s="10">
        <v>57.144999999999996</v>
      </c>
      <c r="J406" s="10">
        <v>86.688000000000002</v>
      </c>
      <c r="K406" s="10">
        <v>77.807473964756966</v>
      </c>
      <c r="L406" s="6" t="s">
        <v>68</v>
      </c>
      <c r="M406" s="6" t="s">
        <v>298</v>
      </c>
      <c r="N406" s="11" t="str">
        <f>VLOOKUP(Séparateur[[#This Row],[Puits]],Puits!$A$1:$F$267,3,FALSE)</f>
        <v>Centre</v>
      </c>
      <c r="O406" s="34">
        <f>(Séparateur[[#This Row],[Qw (sm3/j)]]/(Séparateur[[#This Row],[Qg (Msm3/j)]]*1000))*1000000</f>
        <v>1.2868747504193214</v>
      </c>
      <c r="P406" s="34">
        <f>(Séparateur[[#This Row],[Qc (sm3/j)]]/(Séparateur[[#This Row],[Qg (Msm3/j)]]*1000))*1000000</f>
        <v>8.0598997526262721</v>
      </c>
      <c r="Q406" s="46">
        <v>0.77700000000000002</v>
      </c>
      <c r="R406" s="46">
        <v>0.68400000000000005</v>
      </c>
      <c r="S406" s="34">
        <v>0</v>
      </c>
    </row>
    <row r="407" spans="1:19" x14ac:dyDescent="0.25">
      <c r="A407" s="6">
        <v>127</v>
      </c>
      <c r="B407" s="7" t="s">
        <v>177</v>
      </c>
      <c r="C407" s="8">
        <v>45467</v>
      </c>
      <c r="D407" s="7">
        <v>2140</v>
      </c>
      <c r="E407" s="42">
        <v>553.77487860000008</v>
      </c>
      <c r="F407" s="10">
        <v>6.1487999999999987</v>
      </c>
      <c r="G407" s="10">
        <v>0.57599999999999985</v>
      </c>
      <c r="H407" s="10">
        <v>42.300590848225845</v>
      </c>
      <c r="I407" s="10">
        <v>56.828400000000009</v>
      </c>
      <c r="J407" s="10">
        <v>86.72</v>
      </c>
      <c r="K407" s="10">
        <v>51.837750086472838</v>
      </c>
      <c r="L407" s="6" t="s">
        <v>67</v>
      </c>
      <c r="M407" s="6" t="s">
        <v>298</v>
      </c>
      <c r="N407" s="11" t="str">
        <f>VLOOKUP(Séparateur[[#This Row],[Puits]],Puits!$A$1:$F$267,3,FALSE)</f>
        <v>Centre</v>
      </c>
      <c r="O407" s="34">
        <f>(Séparateur[[#This Row],[Qw (sm3/j)]]/(Séparateur[[#This Row],[Qg (Msm3/j)]]*1000))*1000000</f>
        <v>1.0401338562994897</v>
      </c>
      <c r="P407" s="34">
        <f>(Séparateur[[#This Row],[Qc (sm3/j)]]/(Séparateur[[#This Row],[Qg (Msm3/j)]]*1000))*1000000</f>
        <v>11.103428915997055</v>
      </c>
      <c r="Q407" s="46">
        <v>0.76100000000000001</v>
      </c>
      <c r="R407" s="46">
        <v>0.68799999999999994</v>
      </c>
      <c r="S407" s="34">
        <v>0</v>
      </c>
    </row>
    <row r="408" spans="1:19" x14ac:dyDescent="0.25">
      <c r="A408" s="6">
        <v>127</v>
      </c>
      <c r="B408" s="7" t="s">
        <v>177</v>
      </c>
      <c r="C408" s="8">
        <v>45467</v>
      </c>
      <c r="D408" s="7">
        <v>2140</v>
      </c>
      <c r="E408" s="42">
        <v>434.27057600000001</v>
      </c>
      <c r="F408" s="10">
        <v>4.8000000000000034</v>
      </c>
      <c r="G408" s="10">
        <v>0.36000000000000032</v>
      </c>
      <c r="H408" s="10">
        <v>46.016023869627695</v>
      </c>
      <c r="I408" s="10">
        <v>59.966500000000011</v>
      </c>
      <c r="J408" s="10">
        <v>87.597999999999999</v>
      </c>
      <c r="K408" s="10">
        <v>55.29795298234302</v>
      </c>
      <c r="L408" s="6" t="s">
        <v>68</v>
      </c>
      <c r="M408" s="6" t="s">
        <v>298</v>
      </c>
      <c r="N408" s="11" t="str">
        <f>VLOOKUP(Séparateur[[#This Row],[Puits]],Puits!$A$1:$F$267,3,FALSE)</f>
        <v>Centre</v>
      </c>
      <c r="O408" s="34">
        <f>(Séparateur[[#This Row],[Qw (sm3/j)]]/(Séparateur[[#This Row],[Qg (Msm3/j)]]*1000))*1000000</f>
        <v>0.82897626478843067</v>
      </c>
      <c r="P408" s="34">
        <f>(Séparateur[[#This Row],[Qc (sm3/j)]]/(Séparateur[[#This Row],[Qg (Msm3/j)]]*1000))*1000000</f>
        <v>11.053016863845741</v>
      </c>
      <c r="Q408" s="46">
        <v>0.76100000000000001</v>
      </c>
      <c r="R408" s="46">
        <v>0.69</v>
      </c>
      <c r="S408" s="34">
        <v>0</v>
      </c>
    </row>
    <row r="409" spans="1:19" x14ac:dyDescent="0.25">
      <c r="A409" s="6">
        <v>127</v>
      </c>
      <c r="B409" s="7" t="s">
        <v>177</v>
      </c>
      <c r="C409" s="8">
        <v>45467</v>
      </c>
      <c r="D409" s="7">
        <v>2140</v>
      </c>
      <c r="E409" s="42">
        <v>310.40536900000001</v>
      </c>
      <c r="F409" s="10">
        <v>2.9040000000000026</v>
      </c>
      <c r="G409" s="10">
        <v>0.2880000000000002</v>
      </c>
      <c r="H409" s="10">
        <v>49.353155347789183</v>
      </c>
      <c r="I409" s="10">
        <v>61.635499999999993</v>
      </c>
      <c r="J409" s="10">
        <v>88.21</v>
      </c>
      <c r="K409" s="10">
        <v>58.573031644853074</v>
      </c>
      <c r="L409" s="6" t="s">
        <v>68</v>
      </c>
      <c r="M409" s="6" t="s">
        <v>298</v>
      </c>
      <c r="N409" s="11" t="str">
        <f>VLOOKUP(Séparateur[[#This Row],[Puits]],Puits!$A$1:$F$267,3,FALSE)</f>
        <v>Centre</v>
      </c>
      <c r="O409" s="34">
        <f>(Séparateur[[#This Row],[Qw (sm3/j)]]/(Séparateur[[#This Row],[Qg (Msm3/j)]]*1000))*1000000</f>
        <v>0.92781900302761899</v>
      </c>
      <c r="P409" s="34">
        <f>(Séparateur[[#This Row],[Qc (sm3/j)]]/(Séparateur[[#This Row],[Qg (Msm3/j)]]*1000))*1000000</f>
        <v>9.3555082805284933</v>
      </c>
      <c r="Q409" s="46">
        <v>0.76</v>
      </c>
      <c r="R409" s="46">
        <v>0.69399999999999995</v>
      </c>
      <c r="S409" s="34">
        <v>0</v>
      </c>
    </row>
    <row r="410" spans="1:19" x14ac:dyDescent="0.25">
      <c r="A410" s="6">
        <v>128</v>
      </c>
      <c r="B410" s="7" t="s">
        <v>124</v>
      </c>
      <c r="C410" s="8">
        <v>45468</v>
      </c>
      <c r="D410" s="7">
        <v>2115</v>
      </c>
      <c r="E410" s="42">
        <v>1150.0203064</v>
      </c>
      <c r="F410" s="10">
        <v>11.231999999999998</v>
      </c>
      <c r="G410" s="10">
        <v>0.90239999999999987</v>
      </c>
      <c r="H410" s="10">
        <v>47.176521838426332</v>
      </c>
      <c r="I410" s="10">
        <v>68.873999999999995</v>
      </c>
      <c r="J410" s="10">
        <v>90.450999999999993</v>
      </c>
      <c r="K410" s="10">
        <v>63.42197655500248</v>
      </c>
      <c r="L410" s="6" t="s">
        <v>67</v>
      </c>
      <c r="M410" s="6" t="s">
        <v>298</v>
      </c>
      <c r="N410" s="11" t="str">
        <f>VLOOKUP(Séparateur[[#This Row],[Puits]],Puits!$A$1:$F$267,3,FALSE)</f>
        <v>Centre</v>
      </c>
      <c r="O410" s="34">
        <f>(Séparateur[[#This Row],[Qw (sm3/j)]]/(Séparateur[[#This Row],[Qg (Msm3/j)]]*1000))*1000000</f>
        <v>0.78468179646745062</v>
      </c>
      <c r="P410" s="34">
        <f>(Séparateur[[#This Row],[Qc (sm3/j)]]/(Séparateur[[#This Row],[Qg (Msm3/j)]]*1000))*1000000</f>
        <v>9.7667840624140112</v>
      </c>
      <c r="Q410" s="46">
        <v>0.75900000000000001</v>
      </c>
      <c r="R410" s="46">
        <v>0.67800000000000005</v>
      </c>
      <c r="S410" s="34">
        <v>0</v>
      </c>
    </row>
    <row r="411" spans="1:19" x14ac:dyDescent="0.25">
      <c r="A411" s="6">
        <v>128</v>
      </c>
      <c r="B411" s="7" t="s">
        <v>124</v>
      </c>
      <c r="C411" s="8">
        <v>45468</v>
      </c>
      <c r="D411" s="7">
        <v>2115</v>
      </c>
      <c r="E411" s="42">
        <v>963.31937950000008</v>
      </c>
      <c r="F411" s="10">
        <v>6.3600000000000056</v>
      </c>
      <c r="G411" s="10">
        <v>0.5760000000000004</v>
      </c>
      <c r="H411" s="10">
        <v>49.789041903954079</v>
      </c>
      <c r="I411" s="10">
        <v>69.307999999999993</v>
      </c>
      <c r="J411" s="10">
        <v>90.677000000000007</v>
      </c>
      <c r="K411" s="10">
        <v>63.974729247310918</v>
      </c>
      <c r="L411" s="6" t="s">
        <v>68</v>
      </c>
      <c r="M411" s="6" t="s">
        <v>298</v>
      </c>
      <c r="N411" s="11" t="str">
        <f>VLOOKUP(Séparateur[[#This Row],[Puits]],Puits!$A$1:$F$267,3,FALSE)</f>
        <v>Centre</v>
      </c>
      <c r="O411" s="34">
        <f>(Séparateur[[#This Row],[Qw (sm3/j)]]/(Séparateur[[#This Row],[Qg (Msm3/j)]]*1000))*1000000</f>
        <v>0.59793253645428235</v>
      </c>
      <c r="P411" s="34">
        <f>(Séparateur[[#This Row],[Qc (sm3/j)]]/(Séparateur[[#This Row],[Qg (Msm3/j)]]*1000))*1000000</f>
        <v>6.6021717566827025</v>
      </c>
      <c r="Q411" s="46">
        <v>0.75900000000000001</v>
      </c>
      <c r="R411" s="46">
        <v>0.68</v>
      </c>
      <c r="S411" s="34">
        <v>0</v>
      </c>
    </row>
    <row r="412" spans="1:19" x14ac:dyDescent="0.25">
      <c r="A412" s="6">
        <v>128</v>
      </c>
      <c r="B412" s="7" t="s">
        <v>124</v>
      </c>
      <c r="C412" s="8">
        <v>45468</v>
      </c>
      <c r="D412" s="7">
        <v>2115</v>
      </c>
      <c r="E412" s="42">
        <v>790.43084799999997</v>
      </c>
      <c r="F412" s="10">
        <v>5.8800000000000052</v>
      </c>
      <c r="G412" s="10">
        <v>0.48000000000000048</v>
      </c>
      <c r="H412" s="10">
        <v>51.849505647660138</v>
      </c>
      <c r="I412" s="10">
        <v>68.649000000000001</v>
      </c>
      <c r="J412" s="10">
        <v>90.813000000000002</v>
      </c>
      <c r="K412" s="10">
        <v>64.426956378264023</v>
      </c>
      <c r="L412" s="6" t="s">
        <v>68</v>
      </c>
      <c r="M412" s="6" t="s">
        <v>298</v>
      </c>
      <c r="N412" s="11" t="str">
        <f>VLOOKUP(Séparateur[[#This Row],[Puits]],Puits!$A$1:$F$267,3,FALSE)</f>
        <v>Centre</v>
      </c>
      <c r="O412" s="34">
        <f>(Séparateur[[#This Row],[Qw (sm3/j)]]/(Séparateur[[#This Row],[Qg (Msm3/j)]]*1000))*1000000</f>
        <v>0.6072637488966024</v>
      </c>
      <c r="P412" s="34">
        <f>(Séparateur[[#This Row],[Qc (sm3/j)]]/(Séparateur[[#This Row],[Qg (Msm3/j)]]*1000))*1000000</f>
        <v>7.4389809239833777</v>
      </c>
      <c r="Q412" s="46">
        <v>0.75800000000000001</v>
      </c>
      <c r="R412" s="46">
        <v>0.68100000000000005</v>
      </c>
      <c r="S412" s="34">
        <v>0</v>
      </c>
    </row>
    <row r="413" spans="1:19" x14ac:dyDescent="0.25">
      <c r="A413" s="6">
        <v>129</v>
      </c>
      <c r="B413" s="7" t="s">
        <v>112</v>
      </c>
      <c r="C413" s="8">
        <v>45474</v>
      </c>
      <c r="D413" s="7">
        <v>2105</v>
      </c>
      <c r="E413" s="42">
        <v>1041.8948886000001</v>
      </c>
      <c r="F413" s="10">
        <v>13.247999999999996</v>
      </c>
      <c r="G413" s="10">
        <v>0.76799999999999979</v>
      </c>
      <c r="H413" s="10">
        <v>45.097662882258277</v>
      </c>
      <c r="I413" s="10">
        <v>59.852800000000002</v>
      </c>
      <c r="J413" s="10">
        <v>87.028999999999996</v>
      </c>
      <c r="K413" s="10">
        <v>60.431720316332544</v>
      </c>
      <c r="L413" s="6" t="s">
        <v>67</v>
      </c>
      <c r="M413" s="6" t="s">
        <v>298</v>
      </c>
      <c r="N413" s="11" t="str">
        <f>VLOOKUP(Séparateur[[#This Row],[Puits]],Puits!$A$1:$F$267,3,FALSE)</f>
        <v>Centre</v>
      </c>
      <c r="O413" s="34">
        <f>(Séparateur[[#This Row],[Qw (sm3/j)]]/(Séparateur[[#This Row],[Qg (Msm3/j)]]*1000))*1000000</f>
        <v>0.73711850245466282</v>
      </c>
      <c r="P413" s="34">
        <f>(Séparateur[[#This Row],[Qc (sm3/j)]]/(Séparateur[[#This Row],[Qg (Msm3/j)]]*1000))*1000000</f>
        <v>12.715294167342932</v>
      </c>
      <c r="Q413" s="46">
        <v>0.75800000000000001</v>
      </c>
      <c r="R413" s="46">
        <v>0.68</v>
      </c>
      <c r="S413" s="34">
        <v>0</v>
      </c>
    </row>
    <row r="414" spans="1:19" x14ac:dyDescent="0.25">
      <c r="A414" s="6">
        <v>129</v>
      </c>
      <c r="B414" s="7" t="s">
        <v>112</v>
      </c>
      <c r="C414" s="8">
        <v>45474</v>
      </c>
      <c r="D414" s="7">
        <v>2105</v>
      </c>
      <c r="E414" s="42">
        <v>775.57969249999996</v>
      </c>
      <c r="F414" s="10">
        <v>9.6000000000000068</v>
      </c>
      <c r="G414" s="10">
        <v>0.6720000000000006</v>
      </c>
      <c r="H414" s="10">
        <v>50.12045565021247</v>
      </c>
      <c r="I414" s="10">
        <v>61.403500000000001</v>
      </c>
      <c r="J414" s="10">
        <v>87.73</v>
      </c>
      <c r="K414" s="10">
        <v>62.929070356011209</v>
      </c>
      <c r="L414" s="6" t="s">
        <v>68</v>
      </c>
      <c r="M414" s="6" t="s">
        <v>298</v>
      </c>
      <c r="N414" s="11" t="str">
        <f>VLOOKUP(Séparateur[[#This Row],[Puits]],Puits!$A$1:$F$267,3,FALSE)</f>
        <v>Centre</v>
      </c>
      <c r="O414" s="34">
        <f>(Séparateur[[#This Row],[Qw (sm3/j)]]/(Séparateur[[#This Row],[Qg (Msm3/j)]]*1000))*1000000</f>
        <v>0.86644867896666933</v>
      </c>
      <c r="P414" s="34">
        <f>(Séparateur[[#This Row],[Qc (sm3/j)]]/(Séparateur[[#This Row],[Qg (Msm3/j)]]*1000))*1000000</f>
        <v>12.377838270952417</v>
      </c>
      <c r="Q414" s="46">
        <v>0.75800000000000001</v>
      </c>
      <c r="R414" s="46">
        <v>0.68200000000000005</v>
      </c>
      <c r="S414" s="34">
        <v>0</v>
      </c>
    </row>
    <row r="415" spans="1:19" x14ac:dyDescent="0.25">
      <c r="A415" s="6">
        <v>129</v>
      </c>
      <c r="B415" s="7" t="s">
        <v>112</v>
      </c>
      <c r="C415" s="8">
        <v>45474</v>
      </c>
      <c r="D415" s="7">
        <v>2105</v>
      </c>
      <c r="E415" s="42">
        <v>521.83567949999997</v>
      </c>
      <c r="F415" s="10">
        <v>8.5200000000000067</v>
      </c>
      <c r="G415" s="10">
        <v>0.5760000000000004</v>
      </c>
      <c r="H415" s="10">
        <v>53.684528064725875</v>
      </c>
      <c r="I415" s="10">
        <v>61.150500000000001</v>
      </c>
      <c r="J415" s="10">
        <v>88.25</v>
      </c>
      <c r="K415" s="10">
        <v>64.878976666498289</v>
      </c>
      <c r="L415" s="6" t="s">
        <v>68</v>
      </c>
      <c r="M415" s="6" t="s">
        <v>298</v>
      </c>
      <c r="N415" s="11" t="str">
        <f>VLOOKUP(Séparateur[[#This Row],[Puits]],Puits!$A$1:$F$267,3,FALSE)</f>
        <v>Centre</v>
      </c>
      <c r="O415" s="34">
        <f>(Séparateur[[#This Row],[Qw (sm3/j)]]/(Séparateur[[#This Row],[Qg (Msm3/j)]]*1000))*1000000</f>
        <v>1.1037957399768032</v>
      </c>
      <c r="P415" s="34">
        <f>(Séparateur[[#This Row],[Qc (sm3/j)]]/(Séparateur[[#This Row],[Qg (Msm3/j)]]*1000))*1000000</f>
        <v>16.326978653823552</v>
      </c>
      <c r="Q415" s="46">
        <v>0.75900000000000001</v>
      </c>
      <c r="R415" s="46">
        <v>0.68400000000000005</v>
      </c>
      <c r="S415" s="34">
        <v>0</v>
      </c>
    </row>
    <row r="416" spans="1:19" x14ac:dyDescent="0.25">
      <c r="A416" s="6">
        <v>130</v>
      </c>
      <c r="B416" s="7" t="s">
        <v>227</v>
      </c>
      <c r="C416" s="8">
        <v>45475</v>
      </c>
      <c r="D416" s="7">
        <v>2170</v>
      </c>
      <c r="E416" s="42">
        <v>280.68563219999999</v>
      </c>
      <c r="F416" s="10">
        <v>6.1536000000000026</v>
      </c>
      <c r="G416" s="10">
        <v>0.45120000000000016</v>
      </c>
      <c r="H416" s="10">
        <v>33.79200529270252</v>
      </c>
      <c r="I416" s="10">
        <v>54.770399999999995</v>
      </c>
      <c r="J416" s="10">
        <v>84.206999999999994</v>
      </c>
      <c r="K416" s="10">
        <v>46.047050277453408</v>
      </c>
      <c r="L416" s="6" t="s">
        <v>67</v>
      </c>
      <c r="M416" s="6" t="s">
        <v>298</v>
      </c>
      <c r="N416" s="11" t="str">
        <f>VLOOKUP(Séparateur[[#This Row],[Puits]],Puits!$A$1:$F$267,3,FALSE)</f>
        <v>Centre</v>
      </c>
      <c r="O416" s="34">
        <f>(Séparateur[[#This Row],[Qw (sm3/j)]]/(Séparateur[[#This Row],[Qg (Msm3/j)]]*1000))*1000000</f>
        <v>1.6074923267839436</v>
      </c>
      <c r="P416" s="34">
        <f>(Séparateur[[#This Row],[Qc (sm3/j)]]/(Séparateur[[#This Row],[Qg (Msm3/j)]]*1000))*1000000</f>
        <v>21.923459180181016</v>
      </c>
      <c r="Q416" s="46">
        <v>0.746</v>
      </c>
      <c r="R416" s="46">
        <v>0.68799999999999994</v>
      </c>
      <c r="S416" s="34">
        <v>0</v>
      </c>
    </row>
    <row r="417" spans="1:19" x14ac:dyDescent="0.25">
      <c r="A417" s="6">
        <v>130</v>
      </c>
      <c r="B417" s="7" t="s">
        <v>227</v>
      </c>
      <c r="C417" s="8">
        <v>45475</v>
      </c>
      <c r="D417" s="7">
        <v>2170</v>
      </c>
      <c r="E417" s="42">
        <v>176.51161800000003</v>
      </c>
      <c r="F417" s="10">
        <v>3.8160000000000038</v>
      </c>
      <c r="G417" s="10">
        <v>0.12000000000000012</v>
      </c>
      <c r="H417" s="10">
        <v>46.123995768861192</v>
      </c>
      <c r="I417" s="10">
        <v>60.059500000000007</v>
      </c>
      <c r="J417" s="10">
        <v>87.143000000000001</v>
      </c>
      <c r="K417" s="10">
        <v>57.423192970831892</v>
      </c>
      <c r="L417" s="6" t="s">
        <v>68</v>
      </c>
      <c r="M417" s="6" t="s">
        <v>298</v>
      </c>
      <c r="N417" s="11" t="str">
        <f>VLOOKUP(Séparateur[[#This Row],[Puits]],Puits!$A$1:$F$267,3,FALSE)</f>
        <v>Centre</v>
      </c>
      <c r="O417" s="34">
        <f>(Séparateur[[#This Row],[Qw (sm3/j)]]/(Séparateur[[#This Row],[Qg (Msm3/j)]]*1000))*1000000</f>
        <v>0.67984193539033855</v>
      </c>
      <c r="P417" s="34">
        <f>(Séparateur[[#This Row],[Qc (sm3/j)]]/(Séparateur[[#This Row],[Qg (Msm3/j)]]*1000))*1000000</f>
        <v>21.618973545412764</v>
      </c>
      <c r="Q417" s="46">
        <v>0.746</v>
      </c>
      <c r="R417" s="46">
        <v>0.69</v>
      </c>
      <c r="S417" s="34">
        <v>0</v>
      </c>
    </row>
    <row r="418" spans="1:19" x14ac:dyDescent="0.25">
      <c r="A418" s="6">
        <v>130</v>
      </c>
      <c r="B418" s="7" t="s">
        <v>227</v>
      </c>
      <c r="C418" s="8"/>
      <c r="D418" s="7"/>
      <c r="E418" s="42"/>
      <c r="F418" s="10"/>
      <c r="G418" s="10"/>
      <c r="H418" s="10"/>
      <c r="I418" s="10"/>
      <c r="J418" s="10"/>
      <c r="K418" s="10"/>
      <c r="L418" s="6"/>
      <c r="M418" s="6"/>
      <c r="N418" s="11" t="str">
        <f>VLOOKUP(Séparateur[[#This Row],[Puits]],Puits!$A$1:$F$267,3,FALSE)</f>
        <v>Centre</v>
      </c>
      <c r="O418" s="34" t="e">
        <f>(Séparateur[[#This Row],[Qw (sm3/j)]]/(Séparateur[[#This Row],[Qg (Msm3/j)]]*1000))*1000000</f>
        <v>#DIV/0!</v>
      </c>
      <c r="P418" s="34" t="e">
        <f>(Séparateur[[#This Row],[Qc (sm3/j)]]/(Séparateur[[#This Row],[Qg (Msm3/j)]]*1000))*1000000</f>
        <v>#DIV/0!</v>
      </c>
      <c r="Q418" s="46"/>
      <c r="R418" s="46"/>
      <c r="S418" s="34"/>
    </row>
    <row r="419" spans="1:19" x14ac:dyDescent="0.25">
      <c r="A419" s="6">
        <v>131</v>
      </c>
      <c r="B419" s="7" t="s">
        <v>106</v>
      </c>
      <c r="C419" s="8">
        <v>45477</v>
      </c>
      <c r="D419" s="7">
        <v>1985</v>
      </c>
      <c r="E419" s="42">
        <v>1040.7917164</v>
      </c>
      <c r="F419" s="10">
        <v>9.9733333333333327</v>
      </c>
      <c r="G419" s="10">
        <v>0.74666666666666659</v>
      </c>
      <c r="H419" s="10">
        <v>43.667835009260486</v>
      </c>
      <c r="I419" s="10">
        <v>66.448399999999992</v>
      </c>
      <c r="J419" s="10">
        <v>87.980999999999995</v>
      </c>
      <c r="K419" s="10">
        <v>57.980909888392446</v>
      </c>
      <c r="L419" s="6" t="s">
        <v>67</v>
      </c>
      <c r="M419" s="6" t="s">
        <v>297</v>
      </c>
      <c r="N419" s="11" t="str">
        <f>VLOOKUP(Séparateur[[#This Row],[Puits]],Puits!$A$1:$F$267,3,FALSE)</f>
        <v>Centre</v>
      </c>
      <c r="O419" s="34">
        <f>(Séparateur[[#This Row],[Qw (sm3/j)]]/(Séparateur[[#This Row],[Qg (Msm3/j)]]*1000))*1000000</f>
        <v>0.71740258391882272</v>
      </c>
      <c r="P419" s="34">
        <f>(Séparateur[[#This Row],[Qc (sm3/j)]]/(Séparateur[[#This Row],[Qg (Msm3/j)]]*1000))*1000000</f>
        <v>9.5824487994871319</v>
      </c>
      <c r="Q419" s="46">
        <v>0.75800000000000001</v>
      </c>
      <c r="R419" s="46">
        <v>0.67800000000000005</v>
      </c>
      <c r="S419" s="34">
        <v>0</v>
      </c>
    </row>
    <row r="420" spans="1:19" x14ac:dyDescent="0.25">
      <c r="A420" s="6">
        <v>131</v>
      </c>
      <c r="B420" s="7" t="s">
        <v>106</v>
      </c>
      <c r="C420" s="8">
        <v>45477</v>
      </c>
      <c r="D420" s="7">
        <v>1985</v>
      </c>
      <c r="E420" s="42">
        <v>776.98550249999994</v>
      </c>
      <c r="F420" s="10">
        <v>8.0879999999999956</v>
      </c>
      <c r="G420" s="10">
        <v>0.67199999999999982</v>
      </c>
      <c r="H420" s="10">
        <v>48.974753830568048</v>
      </c>
      <c r="I420" s="10">
        <v>65.246999999999986</v>
      </c>
      <c r="J420" s="10">
        <v>88.772999999999996</v>
      </c>
      <c r="K420" s="10">
        <v>60.792247175267406</v>
      </c>
      <c r="L420" s="6" t="s">
        <v>68</v>
      </c>
      <c r="M420" s="6" t="s">
        <v>297</v>
      </c>
      <c r="N420" s="11" t="str">
        <f>VLOOKUP(Séparateur[[#This Row],[Puits]],Puits!$A$1:$F$267,3,FALSE)</f>
        <v>Centre</v>
      </c>
      <c r="O420" s="34">
        <f>(Séparateur[[#This Row],[Qw (sm3/j)]]/(Séparateur[[#This Row],[Qg (Msm3/j)]]*1000))*1000000</f>
        <v>0.86488100207506757</v>
      </c>
      <c r="P420" s="34">
        <f>(Séparateur[[#This Row],[Qc (sm3/j)]]/(Séparateur[[#This Row],[Qg (Msm3/j)]]*1000))*1000000</f>
        <v>10.409460632117774</v>
      </c>
      <c r="Q420" s="46">
        <v>0.75800000000000001</v>
      </c>
      <c r="R420" s="46">
        <v>0.68</v>
      </c>
      <c r="S420" s="34">
        <v>0</v>
      </c>
    </row>
    <row r="421" spans="1:19" x14ac:dyDescent="0.25">
      <c r="A421" s="6">
        <v>131</v>
      </c>
      <c r="B421" s="7" t="s">
        <v>106</v>
      </c>
      <c r="C421" s="8">
        <v>45477</v>
      </c>
      <c r="D421" s="7">
        <v>1985</v>
      </c>
      <c r="E421" s="42">
        <v>522.63461833333338</v>
      </c>
      <c r="F421" s="10">
        <v>7.3919999999999932</v>
      </c>
      <c r="G421" s="10">
        <v>0.57599999999999951</v>
      </c>
      <c r="H421" s="10">
        <v>52.815920795120526</v>
      </c>
      <c r="I421" s="10">
        <v>61.305</v>
      </c>
      <c r="J421" s="10">
        <v>89.32</v>
      </c>
      <c r="K421" s="10">
        <v>62.946514091966563</v>
      </c>
      <c r="L421" s="6" t="s">
        <v>68</v>
      </c>
      <c r="M421" s="6" t="s">
        <v>297</v>
      </c>
      <c r="N421" s="11" t="str">
        <f>VLOOKUP(Séparateur[[#This Row],[Puits]],Puits!$A$1:$F$267,3,FALSE)</f>
        <v>Centre</v>
      </c>
      <c r="O421" s="34">
        <f>(Séparateur[[#This Row],[Qw (sm3/j)]]/(Séparateur[[#This Row],[Qg (Msm3/j)]]*1000))*1000000</f>
        <v>1.1021083942675798</v>
      </c>
      <c r="P421" s="34">
        <f>(Séparateur[[#This Row],[Qc (sm3/j)]]/(Séparateur[[#This Row],[Qg (Msm3/j)]]*1000))*1000000</f>
        <v>14.143724393100607</v>
      </c>
      <c r="Q421" s="46">
        <v>0.75900000000000001</v>
      </c>
      <c r="R421" s="46">
        <v>0.68200000000000005</v>
      </c>
      <c r="S421" s="34">
        <v>0</v>
      </c>
    </row>
    <row r="422" spans="1:19" x14ac:dyDescent="0.25">
      <c r="A422" s="6">
        <v>132</v>
      </c>
      <c r="B422" s="7" t="s">
        <v>120</v>
      </c>
      <c r="C422" s="8">
        <v>45478</v>
      </c>
      <c r="D422" s="7">
        <v>2200</v>
      </c>
      <c r="E422" s="42">
        <v>523.69919839999989</v>
      </c>
      <c r="F422" s="10">
        <v>8.4819999999999993</v>
      </c>
      <c r="G422" s="10">
        <v>8.7193999999999985</v>
      </c>
      <c r="H422" s="10">
        <v>39.296972569918957</v>
      </c>
      <c r="I422" s="10">
        <v>56.9908</v>
      </c>
      <c r="J422" s="10">
        <v>81.697999999999993</v>
      </c>
      <c r="K422" s="10">
        <v>52.870653676777522</v>
      </c>
      <c r="L422" s="6" t="s">
        <v>67</v>
      </c>
      <c r="M422" s="6" t="s">
        <v>298</v>
      </c>
      <c r="N422" s="11" t="str">
        <f>VLOOKUP(Séparateur[[#This Row],[Puits]],Puits!$A$1:$F$267,3,FALSE)</f>
        <v>Centre</v>
      </c>
      <c r="O422" s="34">
        <f>(Séparateur[[#This Row],[Qw (sm3/j)]]/(Séparateur[[#This Row],[Qg (Msm3/j)]]*1000))*1000000</f>
        <v>16.649634039233618</v>
      </c>
      <c r="P422" s="34">
        <f>(Séparateur[[#This Row],[Qc (sm3/j)]]/(Séparateur[[#This Row],[Qg (Msm3/j)]]*1000))*1000000</f>
        <v>16.196320379932054</v>
      </c>
      <c r="Q422" s="46">
        <v>0.74199999999999999</v>
      </c>
      <c r="R422" s="46">
        <v>0.68600000000000005</v>
      </c>
      <c r="S422" s="34">
        <v>350</v>
      </c>
    </row>
    <row r="423" spans="1:19" x14ac:dyDescent="0.25">
      <c r="A423" s="6">
        <v>132</v>
      </c>
      <c r="B423" s="7" t="s">
        <v>120</v>
      </c>
      <c r="C423" s="8">
        <v>45478</v>
      </c>
      <c r="D423" s="7">
        <v>2200</v>
      </c>
      <c r="E423" s="42">
        <v>419.15281750000003</v>
      </c>
      <c r="F423" s="10">
        <v>7.583999999999997</v>
      </c>
      <c r="G423" s="10">
        <v>4.799999999999998</v>
      </c>
      <c r="H423" s="10">
        <v>48.949260465471262</v>
      </c>
      <c r="I423" s="10">
        <v>59.233999999999995</v>
      </c>
      <c r="J423" s="10">
        <v>84.887</v>
      </c>
      <c r="K423" s="10">
        <v>63.176178457449836</v>
      </c>
      <c r="L423" s="6" t="s">
        <v>68</v>
      </c>
      <c r="M423" s="6" t="s">
        <v>298</v>
      </c>
      <c r="N423" s="11" t="str">
        <f>VLOOKUP(Séparateur[[#This Row],[Puits]],Puits!$A$1:$F$267,3,FALSE)</f>
        <v>Centre</v>
      </c>
      <c r="O423" s="34">
        <f>(Séparateur[[#This Row],[Qw (sm3/j)]]/(Séparateur[[#This Row],[Qg (Msm3/j)]]*1000))*1000000</f>
        <v>11.451670606985717</v>
      </c>
      <c r="P423" s="34">
        <f>(Séparateur[[#This Row],[Qc (sm3/j)]]/(Séparateur[[#This Row],[Qg (Msm3/j)]]*1000))*1000000</f>
        <v>18.093639559037431</v>
      </c>
      <c r="Q423" s="46">
        <v>0.74199999999999999</v>
      </c>
      <c r="R423" s="46">
        <v>0.68799999999999994</v>
      </c>
      <c r="S423" s="34">
        <v>350</v>
      </c>
    </row>
    <row r="424" spans="1:19" x14ac:dyDescent="0.25">
      <c r="A424" s="6">
        <v>132</v>
      </c>
      <c r="B424" s="7" t="s">
        <v>120</v>
      </c>
      <c r="C424" s="8">
        <v>45478</v>
      </c>
      <c r="D424" s="7">
        <v>2200</v>
      </c>
      <c r="E424" s="42">
        <v>295.13948833333336</v>
      </c>
      <c r="F424" s="10">
        <v>6.9119999999999946</v>
      </c>
      <c r="G424" s="10">
        <v>0.2303999999999998</v>
      </c>
      <c r="H424" s="10">
        <v>55.80680905320915</v>
      </c>
      <c r="I424" s="10">
        <v>58.069333333333333</v>
      </c>
      <c r="J424" s="10">
        <v>87.149000000000001</v>
      </c>
      <c r="K424" s="10">
        <v>70.955395217806142</v>
      </c>
      <c r="L424" s="6" t="s">
        <v>68</v>
      </c>
      <c r="M424" s="6" t="s">
        <v>298</v>
      </c>
      <c r="N424" s="11" t="str">
        <f>VLOOKUP(Séparateur[[#This Row],[Puits]],Puits!$A$1:$F$267,3,FALSE)</f>
        <v>Centre</v>
      </c>
      <c r="O424" s="34">
        <f>(Séparateur[[#This Row],[Qw (sm3/j)]]/(Séparateur[[#This Row],[Qg (Msm3/j)]]*1000))*1000000</f>
        <v>0.78064782622304962</v>
      </c>
      <c r="P424" s="34">
        <f>(Séparateur[[#This Row],[Qc (sm3/j)]]/(Séparateur[[#This Row],[Qg (Msm3/j)]]*1000))*1000000</f>
        <v>23.419434786691493</v>
      </c>
      <c r="Q424" s="46">
        <v>0.74299999999999999</v>
      </c>
      <c r="R424" s="46">
        <v>0.69</v>
      </c>
      <c r="S424" s="34">
        <v>350</v>
      </c>
    </row>
    <row r="425" spans="1:19" x14ac:dyDescent="0.25">
      <c r="A425" s="6">
        <v>133</v>
      </c>
      <c r="B425" s="7" t="s">
        <v>232</v>
      </c>
      <c r="C425" s="8">
        <v>45479</v>
      </c>
      <c r="D425" s="7">
        <v>2100</v>
      </c>
      <c r="E425" s="42">
        <v>1146.6023190000001</v>
      </c>
      <c r="F425" s="10">
        <v>10.200000000000001</v>
      </c>
      <c r="G425" s="10">
        <v>0.43000000000000005</v>
      </c>
      <c r="H425" s="10">
        <v>48.120601132349286</v>
      </c>
      <c r="I425" s="10">
        <v>70.044249999999991</v>
      </c>
      <c r="J425" s="10">
        <v>90.741</v>
      </c>
      <c r="K425" s="10">
        <v>64.225974203126313</v>
      </c>
      <c r="L425" s="6" t="s">
        <v>67</v>
      </c>
      <c r="M425" s="6" t="s">
        <v>298</v>
      </c>
      <c r="N425" s="11" t="str">
        <f>VLOOKUP(Séparateur[[#This Row],[Puits]],Puits!$A$1:$F$267,3,FALSE)</f>
        <v>Centre</v>
      </c>
      <c r="O425" s="34">
        <f>(Séparateur[[#This Row],[Qw (sm3/j)]]/(Séparateur[[#This Row],[Qg (Msm3/j)]]*1000))*1000000</f>
        <v>0.37502104511267786</v>
      </c>
      <c r="P425" s="34">
        <f>(Séparateur[[#This Row],[Qc (sm3/j)]]/(Séparateur[[#This Row],[Qg (Msm3/j)]]*1000))*1000000</f>
        <v>8.8958480468588697</v>
      </c>
      <c r="Q425" s="46">
        <v>0.754</v>
      </c>
      <c r="R425" s="46">
        <v>0.67800000000000005</v>
      </c>
      <c r="S425" s="34">
        <v>0</v>
      </c>
    </row>
    <row r="426" spans="1:19" x14ac:dyDescent="0.25">
      <c r="A426" s="6">
        <v>133</v>
      </c>
      <c r="B426" s="7" t="s">
        <v>232</v>
      </c>
      <c r="C426" s="8">
        <v>45479</v>
      </c>
      <c r="D426" s="7">
        <v>2100</v>
      </c>
      <c r="E426" s="42">
        <v>889.13272549999999</v>
      </c>
      <c r="F426" s="10">
        <v>8.4000000000000075</v>
      </c>
      <c r="G426" s="10">
        <v>0.38400000000000034</v>
      </c>
      <c r="H426" s="10">
        <v>51.650057556020471</v>
      </c>
      <c r="I426" s="10">
        <v>71.235500000000016</v>
      </c>
      <c r="J426" s="10">
        <v>91.02</v>
      </c>
      <c r="K426" s="10">
        <v>64.959162693834543</v>
      </c>
      <c r="L426" s="6" t="s">
        <v>68</v>
      </c>
      <c r="M426" s="6" t="s">
        <v>298</v>
      </c>
      <c r="N426" s="11" t="str">
        <f>VLOOKUP(Séparateur[[#This Row],[Puits]],Puits!$A$1:$F$267,3,FALSE)</f>
        <v>Centre</v>
      </c>
      <c r="O426" s="34">
        <f>(Séparateur[[#This Row],[Qw (sm3/j)]]/(Séparateur[[#This Row],[Qg (Msm3/j)]]*1000))*1000000</f>
        <v>0.43188152790581358</v>
      </c>
      <c r="P426" s="34">
        <f>(Séparateur[[#This Row],[Qc (sm3/j)]]/(Séparateur[[#This Row],[Qg (Msm3/j)]]*1000))*1000000</f>
        <v>9.4474084229396738</v>
      </c>
      <c r="Q426" s="46">
        <v>0.754</v>
      </c>
      <c r="R426" s="46">
        <v>0.67800000000000005</v>
      </c>
      <c r="S426" s="34">
        <v>0</v>
      </c>
    </row>
    <row r="427" spans="1:19" x14ac:dyDescent="0.25">
      <c r="A427" s="6">
        <v>133</v>
      </c>
      <c r="B427" s="7" t="s">
        <v>232</v>
      </c>
      <c r="C427" s="8">
        <v>45479</v>
      </c>
      <c r="D427" s="7">
        <v>2100</v>
      </c>
      <c r="E427" s="42">
        <v>567.48331233333329</v>
      </c>
      <c r="F427" s="10">
        <v>5.7407999999999957</v>
      </c>
      <c r="G427" s="10">
        <v>0.36479999999999974</v>
      </c>
      <c r="H427" s="10">
        <v>54.714093443373763</v>
      </c>
      <c r="I427" s="10">
        <v>70.099666666666664</v>
      </c>
      <c r="J427" s="10">
        <v>91.188000000000002</v>
      </c>
      <c r="K427" s="10">
        <v>65.73523657491522</v>
      </c>
      <c r="L427" s="6" t="s">
        <v>68</v>
      </c>
      <c r="M427" s="6" t="s">
        <v>298</v>
      </c>
      <c r="N427" s="11" t="str">
        <f>VLOOKUP(Séparateur[[#This Row],[Puits]],Puits!$A$1:$F$267,3,FALSE)</f>
        <v>Centre</v>
      </c>
      <c r="O427" s="34">
        <f>(Séparateur[[#This Row],[Qw (sm3/j)]]/(Séparateur[[#This Row],[Qg (Msm3/j)]]*1000))*1000000</f>
        <v>0.64283828629258499</v>
      </c>
      <c r="P427" s="34">
        <f>(Séparateur[[#This Row],[Qc (sm3/j)]]/(Séparateur[[#This Row],[Qg (Msm3/j)]]*1000))*1000000</f>
        <v>10.116244610604364</v>
      </c>
      <c r="Q427" s="46">
        <v>0.754</v>
      </c>
      <c r="R427" s="46">
        <v>0.68</v>
      </c>
      <c r="S427" s="34">
        <v>0</v>
      </c>
    </row>
    <row r="428" spans="1:19" x14ac:dyDescent="0.25">
      <c r="A428" s="6">
        <v>134</v>
      </c>
      <c r="B428" s="7" t="s">
        <v>179</v>
      </c>
      <c r="C428" s="8">
        <v>45480</v>
      </c>
      <c r="D428" s="7">
        <v>2115</v>
      </c>
      <c r="E428" s="42">
        <v>736.50643320000006</v>
      </c>
      <c r="F428" s="10">
        <v>1.9679999999999995</v>
      </c>
      <c r="G428" s="10">
        <v>0.76799999999999979</v>
      </c>
      <c r="H428" s="10">
        <v>50.088563950346284</v>
      </c>
      <c r="I428" s="10">
        <v>63.237000000000009</v>
      </c>
      <c r="J428" s="10">
        <v>89.959000000000003</v>
      </c>
      <c r="K428" s="10">
        <v>74.976969252603013</v>
      </c>
      <c r="L428" s="6" t="s">
        <v>67</v>
      </c>
      <c r="M428" s="6" t="s">
        <v>298</v>
      </c>
      <c r="N428" s="11" t="str">
        <f>VLOOKUP(Séparateur[[#This Row],[Puits]],Puits!$A$1:$F$267,3,FALSE)</f>
        <v>Centre</v>
      </c>
      <c r="O428" s="34">
        <f>(Séparateur[[#This Row],[Qw (sm3/j)]]/(Séparateur[[#This Row],[Qg (Msm3/j)]]*1000))*1000000</f>
        <v>1.0427607490991833</v>
      </c>
      <c r="P428" s="34">
        <f>(Séparateur[[#This Row],[Qc (sm3/j)]]/(Séparateur[[#This Row],[Qg (Msm3/j)]]*1000))*1000000</f>
        <v>2.6720744195666577</v>
      </c>
      <c r="Q428" s="46">
        <v>0.79600000000000004</v>
      </c>
      <c r="R428" s="46">
        <v>0.68</v>
      </c>
      <c r="S428" s="34">
        <v>36</v>
      </c>
    </row>
    <row r="429" spans="1:19" x14ac:dyDescent="0.25">
      <c r="A429" s="6">
        <v>134</v>
      </c>
      <c r="B429" s="7" t="s">
        <v>179</v>
      </c>
      <c r="C429" s="8">
        <v>45480</v>
      </c>
      <c r="D429" s="7">
        <v>2115</v>
      </c>
      <c r="E429" s="42">
        <v>552.27205400000003</v>
      </c>
      <c r="F429" s="10">
        <v>1.3200000000000012</v>
      </c>
      <c r="G429" s="10">
        <v>0.72000000000000064</v>
      </c>
      <c r="H429" s="10">
        <v>58.242841718014468</v>
      </c>
      <c r="I429" s="10">
        <v>65.306500000000014</v>
      </c>
      <c r="J429" s="10">
        <v>90.292000000000002</v>
      </c>
      <c r="K429" s="10">
        <v>76.280629961866808</v>
      </c>
      <c r="L429" s="6" t="s">
        <v>68</v>
      </c>
      <c r="M429" s="6" t="s">
        <v>298</v>
      </c>
      <c r="N429" s="11" t="str">
        <f>VLOOKUP(Séparateur[[#This Row],[Puits]],Puits!$A$1:$F$267,3,FALSE)</f>
        <v>Centre</v>
      </c>
      <c r="O429" s="34">
        <f>(Séparateur[[#This Row],[Qw (sm3/j)]]/(Séparateur[[#This Row],[Qg (Msm3/j)]]*1000))*1000000</f>
        <v>1.3037052930438529</v>
      </c>
      <c r="P429" s="34">
        <f>(Séparateur[[#This Row],[Qc (sm3/j)]]/(Séparateur[[#This Row],[Qg (Msm3/j)]]*1000))*1000000</f>
        <v>2.390126370580397</v>
      </c>
      <c r="Q429" s="46">
        <v>0.79600000000000004</v>
      </c>
      <c r="R429" s="46">
        <v>0.68200000000000005</v>
      </c>
      <c r="S429" s="34">
        <v>36</v>
      </c>
    </row>
    <row r="430" spans="1:19" x14ac:dyDescent="0.25">
      <c r="A430" s="6">
        <v>134</v>
      </c>
      <c r="B430" s="7" t="s">
        <v>179</v>
      </c>
      <c r="C430" s="8">
        <v>45480</v>
      </c>
      <c r="D430" s="7">
        <v>2115</v>
      </c>
      <c r="E430" s="42">
        <v>371.02180449999997</v>
      </c>
      <c r="F430" s="10">
        <v>0.72000000000000064</v>
      </c>
      <c r="G430" s="10">
        <v>0.6720000000000006</v>
      </c>
      <c r="H430" s="10">
        <v>63.57545385238037</v>
      </c>
      <c r="I430" s="10">
        <v>66.503</v>
      </c>
      <c r="J430" s="10">
        <v>90.427000000000007</v>
      </c>
      <c r="K430" s="10">
        <v>77.365795812464611</v>
      </c>
      <c r="L430" s="6" t="s">
        <v>68</v>
      </c>
      <c r="M430" s="6" t="s">
        <v>298</v>
      </c>
      <c r="N430" s="11" t="str">
        <f>VLOOKUP(Séparateur[[#This Row],[Puits]],Puits!$A$1:$F$267,3,FALSE)</f>
        <v>Centre</v>
      </c>
      <c r="O430" s="34">
        <f>(Séparateur[[#This Row],[Qw (sm3/j)]]/(Séparateur[[#This Row],[Qg (Msm3/j)]]*1000))*1000000</f>
        <v>1.8112143056001999</v>
      </c>
      <c r="P430" s="34">
        <f>(Séparateur[[#This Row],[Qc (sm3/j)]]/(Séparateur[[#This Row],[Qg (Msm3/j)]]*1000))*1000000</f>
        <v>1.9405867560002141</v>
      </c>
      <c r="Q430" s="46">
        <v>0.79700000000000004</v>
      </c>
      <c r="R430" s="46">
        <v>0.68400000000000005</v>
      </c>
      <c r="S430" s="34">
        <v>36</v>
      </c>
    </row>
    <row r="431" spans="1:19" x14ac:dyDescent="0.25">
      <c r="A431" s="6">
        <v>135</v>
      </c>
      <c r="B431" s="7" t="s">
        <v>356</v>
      </c>
      <c r="C431" s="8">
        <v>45565</v>
      </c>
      <c r="D431" s="7">
        <v>2070</v>
      </c>
      <c r="E431" s="42">
        <v>105.77</v>
      </c>
      <c r="F431" s="10">
        <v>1.1200000000000001</v>
      </c>
      <c r="G431" s="10">
        <v>0.32</v>
      </c>
      <c r="H431" s="10">
        <v>47.918563197500838</v>
      </c>
      <c r="I431" s="10">
        <v>52.222222222222221</v>
      </c>
      <c r="J431" s="10">
        <v>86.037999999999997</v>
      </c>
      <c r="K431" s="10">
        <v>56.565554110956043</v>
      </c>
      <c r="L431" s="6" t="s">
        <v>68</v>
      </c>
      <c r="M431" s="6" t="s">
        <v>298</v>
      </c>
      <c r="N431" s="11" t="e">
        <f>VLOOKUP(Séparateur[[#This Row],[Puits]],Puits!$A$1:$F$267,3,FALSE)</f>
        <v>#N/A</v>
      </c>
      <c r="O431" s="34">
        <f>(Séparateur[[#This Row],[Qw (sm3/j)]]/(Séparateur[[#This Row],[Qg (Msm3/j)]]*1000))*1000000</f>
        <v>3.0254325423087831</v>
      </c>
      <c r="P431" s="34">
        <f>(Séparateur[[#This Row],[Qc (sm3/j)]]/(Séparateur[[#This Row],[Qg (Msm3/j)]]*1000))*1000000</f>
        <v>10.589013898080742</v>
      </c>
      <c r="Q431" s="46">
        <v>0.749</v>
      </c>
      <c r="R431" s="46">
        <v>0.67</v>
      </c>
      <c r="S431" s="34">
        <v>176</v>
      </c>
    </row>
    <row r="432" spans="1:19" x14ac:dyDescent="0.25">
      <c r="A432" s="6">
        <v>135</v>
      </c>
      <c r="B432" s="7" t="s">
        <v>356</v>
      </c>
      <c r="C432" s="8">
        <v>45566</v>
      </c>
      <c r="D432" s="7">
        <v>2070</v>
      </c>
      <c r="E432" s="42">
        <v>159.75899999999999</v>
      </c>
      <c r="F432" s="10">
        <v>1.48</v>
      </c>
      <c r="G432" s="10">
        <v>1.64</v>
      </c>
      <c r="H432" s="10">
        <v>39.231169006299247</v>
      </c>
      <c r="I432" s="10">
        <v>53.333333333333336</v>
      </c>
      <c r="J432" s="10">
        <v>84.290999999999997</v>
      </c>
      <c r="K432" s="10">
        <v>48.992559541281373</v>
      </c>
      <c r="L432" s="6" t="s">
        <v>68</v>
      </c>
      <c r="M432" s="6" t="s">
        <v>298</v>
      </c>
      <c r="N432" s="11" t="e">
        <f>VLOOKUP(Séparateur[[#This Row],[Puits]],Puits!$A$1:$F$267,3,FALSE)</f>
        <v>#N/A</v>
      </c>
      <c r="O432" s="34">
        <f>(Séparateur[[#This Row],[Qw (sm3/j)]]/(Séparateur[[#This Row],[Qg (Msm3/j)]]*1000))*1000000</f>
        <v>10.265462352668706</v>
      </c>
      <c r="P432" s="34">
        <f>(Séparateur[[#This Row],[Qc (sm3/j)]]/(Séparateur[[#This Row],[Qg (Msm3/j)]]*1000))*1000000</f>
        <v>9.2639538304571261</v>
      </c>
      <c r="Q432" s="46">
        <v>0.75600000000000001</v>
      </c>
      <c r="R432" s="46">
        <v>0.67</v>
      </c>
      <c r="S432" s="34">
        <v>172</v>
      </c>
    </row>
    <row r="433" spans="1:19" x14ac:dyDescent="0.25">
      <c r="A433" s="6">
        <v>135</v>
      </c>
      <c r="B433" s="7" t="s">
        <v>356</v>
      </c>
      <c r="C433" s="8">
        <v>45567</v>
      </c>
      <c r="D433" s="7">
        <v>2070</v>
      </c>
      <c r="E433" s="42">
        <v>230.18899999999999</v>
      </c>
      <c r="F433" s="10">
        <v>2.23</v>
      </c>
      <c r="G433" s="10">
        <v>1.44</v>
      </c>
      <c r="H433" s="10">
        <v>25.786392281820596</v>
      </c>
      <c r="I433" s="10">
        <v>50.555555555555557</v>
      </c>
      <c r="J433" s="10">
        <v>80.584000000000003</v>
      </c>
      <c r="K433" s="10">
        <v>37.123234858619831</v>
      </c>
      <c r="L433" s="6" t="s">
        <v>68</v>
      </c>
      <c r="M433" s="6" t="s">
        <v>298</v>
      </c>
      <c r="N433" s="11" t="e">
        <f>VLOOKUP(Séparateur[[#This Row],[Puits]],Puits!$A$1:$F$267,3,FALSE)</f>
        <v>#N/A</v>
      </c>
      <c r="O433" s="34">
        <f>(Séparateur[[#This Row],[Qw (sm3/j)]]/(Séparateur[[#This Row],[Qg (Msm3/j)]]*1000))*1000000</f>
        <v>6.2557289879186229</v>
      </c>
      <c r="P433" s="34">
        <f>(Séparateur[[#This Row],[Qc (sm3/j)]]/(Séparateur[[#This Row],[Qg (Msm3/j)]]*1000))*1000000</f>
        <v>9.6876914187906458</v>
      </c>
      <c r="Q433" s="46">
        <v>0.751</v>
      </c>
      <c r="R433" s="46">
        <v>0.67</v>
      </c>
      <c r="S433" s="34">
        <v>170</v>
      </c>
    </row>
    <row r="434" spans="1:19" x14ac:dyDescent="0.25">
      <c r="A434" s="6">
        <v>136</v>
      </c>
      <c r="B434" s="7" t="s">
        <v>57</v>
      </c>
      <c r="C434" s="8">
        <v>45578</v>
      </c>
      <c r="D434" s="7">
        <v>2160</v>
      </c>
      <c r="E434" s="42">
        <v>207.161</v>
      </c>
      <c r="F434" s="10">
        <v>2.23</v>
      </c>
      <c r="G434" s="10">
        <v>0</v>
      </c>
      <c r="H434" s="10">
        <v>33.43957287883152</v>
      </c>
      <c r="I434" s="10"/>
      <c r="J434" s="10">
        <v>77.965999999999994</v>
      </c>
      <c r="K434" s="10">
        <v>39.899133093000522</v>
      </c>
      <c r="L434" s="6" t="s">
        <v>67</v>
      </c>
      <c r="M434" s="6" t="s">
        <v>298</v>
      </c>
      <c r="N434" s="11" t="str">
        <f>VLOOKUP(Séparateur[[#This Row],[Puits]],Puits!$A$1:$F$267,3,FALSE)</f>
        <v>Sud</v>
      </c>
      <c r="O434" s="34">
        <f>(Séparateur[[#This Row],[Qw (sm3/j)]]/(Séparateur[[#This Row],[Qg (Msm3/j)]]*1000))*1000000</f>
        <v>0</v>
      </c>
      <c r="P434" s="34">
        <f>(Séparateur[[#This Row],[Qc (sm3/j)]]/(Séparateur[[#This Row],[Qg (Msm3/j)]]*1000))*1000000</f>
        <v>10.764574413137609</v>
      </c>
      <c r="Q434" s="46">
        <v>0.76700000000000002</v>
      </c>
      <c r="R434" s="46">
        <v>0.67</v>
      </c>
      <c r="S434" s="34">
        <v>0</v>
      </c>
    </row>
    <row r="435" spans="1:19" x14ac:dyDescent="0.25">
      <c r="A435" s="6">
        <v>136</v>
      </c>
      <c r="B435" s="7" t="s">
        <v>57</v>
      </c>
      <c r="C435" s="8">
        <v>45578</v>
      </c>
      <c r="D435" s="7">
        <v>2160</v>
      </c>
      <c r="E435" s="42">
        <v>168.03399999999999</v>
      </c>
      <c r="F435" s="10">
        <v>1.1200000000000001</v>
      </c>
      <c r="G435" s="10">
        <v>0</v>
      </c>
      <c r="H435" s="10">
        <v>39.644854443975511</v>
      </c>
      <c r="I435" s="10"/>
      <c r="J435" s="10">
        <v>80.685000000000002</v>
      </c>
      <c r="K435" s="10">
        <v>46.713428569976926</v>
      </c>
      <c r="L435" s="6" t="s">
        <v>68</v>
      </c>
      <c r="M435" s="6" t="s">
        <v>298</v>
      </c>
      <c r="N435" s="11" t="str">
        <f>VLOOKUP(Séparateur[[#This Row],[Puits]],Puits!$A$1:$F$267,3,FALSE)</f>
        <v>Sud</v>
      </c>
      <c r="O435" s="34">
        <f>(Séparateur[[#This Row],[Qw (sm3/j)]]/(Séparateur[[#This Row],[Qg (Msm3/j)]]*1000))*1000000</f>
        <v>0</v>
      </c>
      <c r="P435" s="34">
        <f>(Séparateur[[#This Row],[Qc (sm3/j)]]/(Séparateur[[#This Row],[Qg (Msm3/j)]]*1000))*1000000</f>
        <v>6.6653177333158773</v>
      </c>
      <c r="Q435" s="46">
        <v>0.76700000000000002</v>
      </c>
      <c r="R435" s="46">
        <v>0.67</v>
      </c>
      <c r="S435" s="34">
        <v>0</v>
      </c>
    </row>
    <row r="436" spans="1:19" x14ac:dyDescent="0.25">
      <c r="A436" s="6">
        <v>136</v>
      </c>
      <c r="B436" s="7" t="s">
        <v>57</v>
      </c>
      <c r="C436" s="8">
        <v>45578</v>
      </c>
      <c r="D436" s="7">
        <v>2160</v>
      </c>
      <c r="E436" s="42">
        <v>106.624</v>
      </c>
      <c r="F436" s="10">
        <v>0.67</v>
      </c>
      <c r="G436" s="10">
        <v>0</v>
      </c>
      <c r="H436" s="10">
        <v>45.022765133766974</v>
      </c>
      <c r="I436" s="10"/>
      <c r="J436" s="10">
        <v>82.8</v>
      </c>
      <c r="K436" s="10">
        <v>54.714173882208861</v>
      </c>
      <c r="L436" s="6" t="s">
        <v>68</v>
      </c>
      <c r="M436" s="6" t="s">
        <v>298</v>
      </c>
      <c r="N436" s="11" t="str">
        <f>VLOOKUP(Séparateur[[#This Row],[Puits]],Puits!$A$1:$F$267,3,FALSE)</f>
        <v>Sud</v>
      </c>
      <c r="O436" s="34">
        <f>(Séparateur[[#This Row],[Qw (sm3/j)]]/(Séparateur[[#This Row],[Qg (Msm3/j)]]*1000))*1000000</f>
        <v>0</v>
      </c>
      <c r="P436" s="34">
        <f>(Séparateur[[#This Row],[Qc (sm3/j)]]/(Séparateur[[#This Row],[Qg (Msm3/j)]]*1000))*1000000</f>
        <v>6.2837635054021614</v>
      </c>
      <c r="Q436" s="46">
        <v>0.67600000000000005</v>
      </c>
      <c r="R436" s="46">
        <v>0.67</v>
      </c>
      <c r="S436" s="34">
        <v>0</v>
      </c>
    </row>
    <row r="437" spans="1:19" x14ac:dyDescent="0.25">
      <c r="A437" s="6">
        <v>137</v>
      </c>
      <c r="B437" s="7" t="s">
        <v>43</v>
      </c>
      <c r="C437" s="8">
        <v>45575</v>
      </c>
      <c r="D437" s="7">
        <v>2120</v>
      </c>
      <c r="E437" s="42">
        <v>230.15299999999999</v>
      </c>
      <c r="F437" s="10">
        <v>0.48</v>
      </c>
      <c r="G437" s="10">
        <v>0.63</v>
      </c>
      <c r="H437" s="10">
        <v>36.197475796673295</v>
      </c>
      <c r="I437" s="10"/>
      <c r="J437" s="10">
        <v>78.343000000000004</v>
      </c>
      <c r="K437" s="10">
        <v>47.361122070232064</v>
      </c>
      <c r="L437" s="6" t="s">
        <v>67</v>
      </c>
      <c r="M437" s="6" t="s">
        <v>298</v>
      </c>
      <c r="N437" s="11" t="str">
        <f>VLOOKUP(Séparateur[[#This Row],[Puits]],Puits!$A$1:$F$267,3,FALSE)</f>
        <v>Sud</v>
      </c>
      <c r="O437" s="34">
        <f>(Séparateur[[#This Row],[Qw (sm3/j)]]/(Séparateur[[#This Row],[Qg (Msm3/j)]]*1000))*1000000</f>
        <v>2.7373095288786158</v>
      </c>
      <c r="P437" s="34">
        <f>(Séparateur[[#This Row],[Qc (sm3/j)]]/(Séparateur[[#This Row],[Qg (Msm3/j)]]*1000))*1000000</f>
        <v>2.0855691648598977</v>
      </c>
      <c r="Q437" s="46">
        <v>0.72699999999999998</v>
      </c>
      <c r="R437" s="46">
        <v>0.67</v>
      </c>
      <c r="S437" s="34">
        <v>36.270000000000003</v>
      </c>
    </row>
    <row r="438" spans="1:19" x14ac:dyDescent="0.25">
      <c r="A438" s="6">
        <v>137</v>
      </c>
      <c r="B438" s="7" t="s">
        <v>43</v>
      </c>
      <c r="C438" s="8">
        <v>45575</v>
      </c>
      <c r="D438" s="7">
        <v>2120</v>
      </c>
      <c r="E438" s="42">
        <v>156.749</v>
      </c>
      <c r="F438" s="10">
        <v>0.36</v>
      </c>
      <c r="G438" s="10">
        <v>0.33600000000000002</v>
      </c>
      <c r="H438" s="10">
        <v>41.023805902896399</v>
      </c>
      <c r="I438" s="10"/>
      <c r="J438" s="10">
        <v>79.626999999999995</v>
      </c>
      <c r="K438" s="10">
        <v>50.633029144386605</v>
      </c>
      <c r="L438" s="6" t="s">
        <v>68</v>
      </c>
      <c r="M438" s="6" t="s">
        <v>298</v>
      </c>
      <c r="N438" s="11" t="str">
        <f>VLOOKUP(Séparateur[[#This Row],[Puits]],Puits!$A$1:$F$267,3,FALSE)</f>
        <v>Sud</v>
      </c>
      <c r="O438" s="34">
        <f>(Séparateur[[#This Row],[Qw (sm3/j)]]/(Séparateur[[#This Row],[Qg (Msm3/j)]]*1000))*1000000</f>
        <v>2.1435543448443051</v>
      </c>
      <c r="P438" s="34">
        <f>(Séparateur[[#This Row],[Qc (sm3/j)]]/(Séparateur[[#This Row],[Qg (Msm3/j)]]*1000))*1000000</f>
        <v>2.2966653694760413</v>
      </c>
      <c r="Q438" s="46">
        <v>0.74099999999999999</v>
      </c>
      <c r="R438" s="46">
        <v>0.67</v>
      </c>
      <c r="S438" s="34">
        <v>14.04</v>
      </c>
    </row>
    <row r="439" spans="1:19" x14ac:dyDescent="0.25">
      <c r="A439" s="6">
        <v>137</v>
      </c>
      <c r="B439" s="7" t="s">
        <v>43</v>
      </c>
      <c r="C439" s="8">
        <v>45575</v>
      </c>
      <c r="D439" s="7">
        <v>2120</v>
      </c>
      <c r="E439" s="42">
        <v>117.7</v>
      </c>
      <c r="F439" s="10">
        <v>0.3</v>
      </c>
      <c r="G439" s="10">
        <v>0.24</v>
      </c>
      <c r="H439" s="10">
        <v>42.609600080655419</v>
      </c>
      <c r="I439" s="10"/>
      <c r="J439" s="10">
        <v>79.956999999999994</v>
      </c>
      <c r="K439" s="10">
        <v>51.87574019916611</v>
      </c>
      <c r="L439" s="6" t="s">
        <v>68</v>
      </c>
      <c r="M439" s="6" t="s">
        <v>298</v>
      </c>
      <c r="N439" s="11" t="str">
        <f>VLOOKUP(Séparateur[[#This Row],[Puits]],Puits!$A$1:$F$267,3,FALSE)</f>
        <v>Sud</v>
      </c>
      <c r="O439" s="34">
        <f>(Séparateur[[#This Row],[Qw (sm3/j)]]/(Séparateur[[#This Row],[Qg (Msm3/j)]]*1000))*1000000</f>
        <v>2.0390824129141887</v>
      </c>
      <c r="P439" s="34">
        <f>(Séparateur[[#This Row],[Qc (sm3/j)]]/(Séparateur[[#This Row],[Qg (Msm3/j)]]*1000))*1000000</f>
        <v>2.5488530161427359</v>
      </c>
      <c r="Q439" s="46">
        <v>0.72699999999999998</v>
      </c>
      <c r="R439" s="46">
        <v>0.67</v>
      </c>
      <c r="S439" s="34">
        <v>11.7</v>
      </c>
    </row>
    <row r="440" spans="1:19" x14ac:dyDescent="0.25">
      <c r="A440" s="6">
        <v>138</v>
      </c>
      <c r="B440" s="7" t="s">
        <v>324</v>
      </c>
      <c r="C440" s="8">
        <v>45587</v>
      </c>
      <c r="D440" s="7">
        <v>2190</v>
      </c>
      <c r="E440" s="42">
        <v>141.02099999999999</v>
      </c>
      <c r="F440" s="10">
        <v>1.2</v>
      </c>
      <c r="G440" s="10">
        <v>0.6</v>
      </c>
      <c r="H440" s="10">
        <v>33.991153462399872</v>
      </c>
      <c r="I440" s="10">
        <v>54.44444444444445</v>
      </c>
      <c r="J440" s="10">
        <v>82.700999999999993</v>
      </c>
      <c r="K440" s="10">
        <v>44.45222396763846</v>
      </c>
      <c r="L440" s="6" t="s">
        <v>67</v>
      </c>
      <c r="M440" s="6" t="s">
        <v>298</v>
      </c>
      <c r="N440" s="11" t="str">
        <f>VLOOKUP(Séparateur[[#This Row],[Puits]],Puits!$A$1:$F$267,3,FALSE)</f>
        <v>Nord</v>
      </c>
      <c r="O440" s="34">
        <f>(Séparateur[[#This Row],[Qw (sm3/j)]]/(Séparateur[[#This Row],[Qg (Msm3/j)]]*1000))*1000000</f>
        <v>4.2546854723764547</v>
      </c>
      <c r="P440" s="34">
        <f>(Séparateur[[#This Row],[Qc (sm3/j)]]/(Séparateur[[#This Row],[Qg (Msm3/j)]]*1000))*1000000</f>
        <v>8.5093709447529093</v>
      </c>
      <c r="Q440" s="46">
        <v>0.73499999999999999</v>
      </c>
      <c r="R440" s="46">
        <v>0.67</v>
      </c>
      <c r="S440" s="34">
        <v>0</v>
      </c>
    </row>
    <row r="441" spans="1:19" x14ac:dyDescent="0.25">
      <c r="A441" s="6">
        <v>138</v>
      </c>
      <c r="B441" s="7" t="s">
        <v>324</v>
      </c>
      <c r="C441" s="8">
        <v>45588</v>
      </c>
      <c r="D441" s="7">
        <v>2190</v>
      </c>
      <c r="E441" s="42">
        <v>113.136</v>
      </c>
      <c r="F441" s="10">
        <v>1.1100000000000001</v>
      </c>
      <c r="G441" s="10">
        <v>0.54</v>
      </c>
      <c r="H441" s="10">
        <v>34.956419483644495</v>
      </c>
      <c r="I441" s="10">
        <v>52.222222222222221</v>
      </c>
      <c r="J441" s="10">
        <v>82.167000000000002</v>
      </c>
      <c r="K441" s="10">
        <v>44.364867392715816</v>
      </c>
      <c r="L441" s="6" t="s">
        <v>68</v>
      </c>
      <c r="M441" s="6" t="s">
        <v>298</v>
      </c>
      <c r="N441" s="11" t="str">
        <f>VLOOKUP(Séparateur[[#This Row],[Puits]],Puits!$A$1:$F$267,3,FALSE)</f>
        <v>Nord</v>
      </c>
      <c r="O441" s="34">
        <f>(Séparateur[[#This Row],[Qw (sm3/j)]]/(Séparateur[[#This Row],[Qg (Msm3/j)]]*1000))*1000000</f>
        <v>4.7730165464573622</v>
      </c>
      <c r="P441" s="34">
        <f>(Séparateur[[#This Row],[Qc (sm3/j)]]/(Séparateur[[#This Row],[Qg (Msm3/j)]]*1000))*1000000</f>
        <v>9.8112006788290209</v>
      </c>
      <c r="Q441" s="46">
        <v>0.73599999999999999</v>
      </c>
      <c r="R441" s="46">
        <v>0.67</v>
      </c>
      <c r="S441" s="34">
        <v>0</v>
      </c>
    </row>
    <row r="442" spans="1:19" x14ac:dyDescent="0.25">
      <c r="A442" s="6">
        <v>138</v>
      </c>
      <c r="B442" s="7" t="s">
        <v>324</v>
      </c>
      <c r="C442" s="8">
        <v>45588</v>
      </c>
      <c r="D442" s="7">
        <v>2190</v>
      </c>
      <c r="E442" s="42">
        <v>88.424999999999997</v>
      </c>
      <c r="F442" s="10">
        <v>0.55000000000000004</v>
      </c>
      <c r="G442" s="10">
        <v>0</v>
      </c>
      <c r="H442" s="10">
        <v>47.022244749202258</v>
      </c>
      <c r="I442" s="10">
        <v>54.44444444444445</v>
      </c>
      <c r="J442" s="10">
        <v>85.805999999999997</v>
      </c>
      <c r="K442" s="10">
        <v>59.330627576384209</v>
      </c>
      <c r="L442" s="6" t="s">
        <v>68</v>
      </c>
      <c r="M442" s="6" t="s">
        <v>298</v>
      </c>
      <c r="N442" s="11" t="str">
        <f>VLOOKUP(Séparateur[[#This Row],[Puits]],Puits!$A$1:$F$267,3,FALSE)</f>
        <v>Nord</v>
      </c>
      <c r="O442" s="34">
        <f>(Séparateur[[#This Row],[Qw (sm3/j)]]/(Séparateur[[#This Row],[Qg (Msm3/j)]]*1000))*1000000</f>
        <v>0</v>
      </c>
      <c r="P442" s="34">
        <f>(Séparateur[[#This Row],[Qc (sm3/j)]]/(Séparateur[[#This Row],[Qg (Msm3/j)]]*1000))*1000000</f>
        <v>6.2199604184337014</v>
      </c>
      <c r="Q442" s="46">
        <v>0.73599999999999999</v>
      </c>
      <c r="R442" s="46">
        <v>0.67</v>
      </c>
      <c r="S442" s="34">
        <v>0</v>
      </c>
    </row>
    <row r="443" spans="1:19" x14ac:dyDescent="0.25">
      <c r="A443" s="6">
        <v>139</v>
      </c>
      <c r="B443" s="7" t="s">
        <v>31</v>
      </c>
      <c r="C443" s="8">
        <v>45581</v>
      </c>
      <c r="D443" s="7">
        <v>2120</v>
      </c>
      <c r="E443" s="42">
        <v>252.624</v>
      </c>
      <c r="F443" s="10">
        <v>1.1200000000000001</v>
      </c>
      <c r="G443" s="10">
        <v>0.05</v>
      </c>
      <c r="H443" s="10">
        <v>37.024846672025824</v>
      </c>
      <c r="I443" s="10">
        <v>46.666666666666671</v>
      </c>
      <c r="J443" s="10">
        <v>79.905000000000001</v>
      </c>
      <c r="K443" s="10">
        <v>44.262893932328623</v>
      </c>
      <c r="L443" s="6" t="s">
        <v>67</v>
      </c>
      <c r="M443" s="6" t="s">
        <v>298</v>
      </c>
      <c r="N443" s="11" t="str">
        <f>VLOOKUP(Séparateur[[#This Row],[Puits]],Puits!$A$1:$F$267,3,FALSE)</f>
        <v>Sud</v>
      </c>
      <c r="O443" s="34">
        <f>(Séparateur[[#This Row],[Qw (sm3/j)]]/(Séparateur[[#This Row],[Qg (Msm3/j)]]*1000))*1000000</f>
        <v>0.19792260434479703</v>
      </c>
      <c r="P443" s="34">
        <f>(Séparateur[[#This Row],[Qc (sm3/j)]]/(Séparateur[[#This Row],[Qg (Msm3/j)]]*1000))*1000000</f>
        <v>4.4334663373234529</v>
      </c>
      <c r="Q443" s="46">
        <v>0.76600000000000001</v>
      </c>
      <c r="R443" s="46">
        <v>0.67</v>
      </c>
      <c r="S443" s="34">
        <v>23.4</v>
      </c>
    </row>
    <row r="444" spans="1:19" x14ac:dyDescent="0.25">
      <c r="A444" s="6">
        <v>139</v>
      </c>
      <c r="B444" s="7" t="s">
        <v>31</v>
      </c>
      <c r="C444" s="8">
        <v>45581</v>
      </c>
      <c r="D444" s="7">
        <v>2120</v>
      </c>
      <c r="E444" s="42">
        <v>183.81899999999999</v>
      </c>
      <c r="F444" s="10">
        <v>0.56000000000000005</v>
      </c>
      <c r="G444" s="10">
        <v>0</v>
      </c>
      <c r="H444" s="10">
        <v>52.951736022562073</v>
      </c>
      <c r="I444" s="10">
        <v>48.888888888888893</v>
      </c>
      <c r="J444" s="10">
        <v>84.881</v>
      </c>
      <c r="K444" s="10">
        <v>61.643473910859271</v>
      </c>
      <c r="L444" s="6" t="s">
        <v>68</v>
      </c>
      <c r="M444" s="6" t="s">
        <v>298</v>
      </c>
      <c r="N444" s="11" t="str">
        <f>VLOOKUP(Séparateur[[#This Row],[Puits]],Puits!$A$1:$F$267,3,FALSE)</f>
        <v>Sud</v>
      </c>
      <c r="O444" s="34">
        <f>(Séparateur[[#This Row],[Qw (sm3/j)]]/(Séparateur[[#This Row],[Qg (Msm3/j)]]*1000))*1000000</f>
        <v>0</v>
      </c>
      <c r="P444" s="34">
        <f>(Séparateur[[#This Row],[Qc (sm3/j)]]/(Séparateur[[#This Row],[Qg (Msm3/j)]]*1000))*1000000</f>
        <v>3.0464750651456054</v>
      </c>
      <c r="Q444" s="46">
        <v>0.76600000000000001</v>
      </c>
      <c r="R444" s="46">
        <v>0.67</v>
      </c>
      <c r="S444" s="34">
        <v>0</v>
      </c>
    </row>
    <row r="445" spans="1:19" x14ac:dyDescent="0.25">
      <c r="A445" s="6">
        <v>139</v>
      </c>
      <c r="B445" s="7" t="s">
        <v>31</v>
      </c>
      <c r="C445" s="8">
        <v>45581</v>
      </c>
      <c r="D445" s="7">
        <v>2120</v>
      </c>
      <c r="E445" s="42">
        <v>120.292</v>
      </c>
      <c r="F445" s="10">
        <v>0</v>
      </c>
      <c r="G445" s="10">
        <v>0</v>
      </c>
      <c r="H445" s="10">
        <v>57.019642826378693</v>
      </c>
      <c r="I445" s="10">
        <v>51.111111111111114</v>
      </c>
      <c r="J445" s="10">
        <v>85.844999999999999</v>
      </c>
      <c r="K445" s="10">
        <v>65.272391517728423</v>
      </c>
      <c r="L445" s="6" t="s">
        <v>68</v>
      </c>
      <c r="M445" s="6" t="s">
        <v>298</v>
      </c>
      <c r="N445" s="11" t="str">
        <f>VLOOKUP(Séparateur[[#This Row],[Puits]],Puits!$A$1:$F$267,3,FALSE)</f>
        <v>Sud</v>
      </c>
      <c r="O445" s="34">
        <f>(Séparateur[[#This Row],[Qw (sm3/j)]]/(Séparateur[[#This Row],[Qg (Msm3/j)]]*1000))*1000000</f>
        <v>0</v>
      </c>
      <c r="P445" s="34">
        <f>(Séparateur[[#This Row],[Qc (sm3/j)]]/(Séparateur[[#This Row],[Qg (Msm3/j)]]*1000))*1000000</f>
        <v>0</v>
      </c>
      <c r="Q445" s="46">
        <v>0.76600000000000001</v>
      </c>
      <c r="R445" s="46">
        <v>0.67</v>
      </c>
      <c r="S445" s="34">
        <v>0</v>
      </c>
    </row>
  </sheetData>
  <phoneticPr fontId="8" type="noConversion"/>
  <pageMargins left="0.7" right="0.7" top="0.75" bottom="0.75" header="0.3" footer="0.3"/>
  <pageSetup paperSize="9" orientation="portrait" r:id="rId1"/>
  <drawing r:id="rId2"/>
  <legacyDrawing r:id="rId3"/>
  <tableParts count="1">
    <tablePart r:id="rId4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5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28D21-7261-4D06-8BA5-49802DF0DC07}">
  <sheetPr>
    <tabColor rgb="FF92D050"/>
  </sheetPr>
  <dimension ref="A1:AB1102"/>
  <sheetViews>
    <sheetView topLeftCell="H1" workbookViewId="0">
      <pane ySplit="2" topLeftCell="A3" activePane="bottomLeft" state="frozen"/>
      <selection pane="bottomLeft" activeCell="Y9" sqref="Y9"/>
    </sheetView>
  </sheetViews>
  <sheetFormatPr baseColWidth="10" defaultRowHeight="15.75" x14ac:dyDescent="0.25"/>
  <cols>
    <col min="1" max="1" width="12.85546875" style="13" customWidth="1"/>
    <col min="2" max="2" width="17" style="13" customWidth="1"/>
    <col min="3" max="3" width="14.85546875" style="13" bestFit="1" customWidth="1"/>
    <col min="4" max="4" width="22.7109375" style="13" bestFit="1" customWidth="1"/>
    <col min="5" max="5" width="14.7109375" style="13" customWidth="1"/>
    <col min="6" max="6" width="11.140625" style="13" customWidth="1"/>
    <col min="7" max="7" width="0.85546875" style="36" customWidth="1"/>
    <col min="8" max="8" width="11.42578125" style="13"/>
    <col min="9" max="9" width="11.85546875" style="13" bestFit="1" customWidth="1"/>
    <col min="10" max="10" width="14.85546875" style="13" bestFit="1" customWidth="1"/>
    <col min="11" max="12" width="14.85546875" style="13" customWidth="1"/>
    <col min="13" max="13" width="22.7109375" style="13" bestFit="1" customWidth="1"/>
    <col min="14" max="14" width="11.42578125" style="13"/>
    <col min="15" max="15" width="10.28515625" style="13" bestFit="1" customWidth="1"/>
    <col min="16" max="16" width="0.85546875" style="36" customWidth="1"/>
    <col min="17" max="17" width="12.140625" style="13" bestFit="1" customWidth="1"/>
    <col min="18" max="18" width="11.85546875" style="13" bestFit="1" customWidth="1"/>
    <col min="19" max="19" width="16.5703125" style="13" bestFit="1" customWidth="1"/>
    <col min="20" max="20" width="12.5703125" style="13" bestFit="1" customWidth="1"/>
    <col min="21" max="21" width="13.140625" style="13" bestFit="1" customWidth="1"/>
    <col min="22" max="22" width="22.7109375" style="13" bestFit="1" customWidth="1"/>
    <col min="23" max="23" width="11" style="13" bestFit="1" customWidth="1"/>
    <col min="24" max="24" width="10.28515625" style="13" bestFit="1" customWidth="1"/>
    <col min="25" max="26" width="11.42578125" style="13"/>
    <col min="27" max="27" width="12.140625" style="13" bestFit="1" customWidth="1"/>
    <col min="28" max="16384" width="11.42578125" style="13"/>
  </cols>
  <sheetData>
    <row r="1" spans="1:25" ht="22.5" customHeight="1" x14ac:dyDescent="0.25">
      <c r="A1" s="60" t="s">
        <v>304</v>
      </c>
      <c r="B1" s="61"/>
      <c r="C1" s="61"/>
      <c r="D1" s="61"/>
      <c r="E1" s="61"/>
      <c r="F1" s="62"/>
      <c r="H1" s="63" t="s">
        <v>352</v>
      </c>
      <c r="I1" s="64"/>
      <c r="J1" s="64"/>
      <c r="K1" s="64"/>
      <c r="L1" s="64"/>
      <c r="M1" s="64"/>
      <c r="N1" s="64"/>
      <c r="O1" s="65"/>
      <c r="Q1" s="63" t="s">
        <v>307</v>
      </c>
      <c r="R1" s="64"/>
      <c r="S1" s="64"/>
      <c r="T1" s="64"/>
      <c r="U1" s="64"/>
      <c r="V1" s="64"/>
      <c r="W1" s="64"/>
      <c r="X1" s="65"/>
    </row>
    <row r="2" spans="1:25" ht="25.5" customHeight="1" thickBot="1" x14ac:dyDescent="0.3">
      <c r="A2" s="29" t="s">
        <v>0</v>
      </c>
      <c r="B2" s="30" t="s">
        <v>1</v>
      </c>
      <c r="C2" s="30" t="s">
        <v>3</v>
      </c>
      <c r="D2" s="30" t="s">
        <v>299</v>
      </c>
      <c r="E2" s="30" t="s">
        <v>300</v>
      </c>
      <c r="F2" s="31" t="s">
        <v>5</v>
      </c>
      <c r="H2" s="29" t="s">
        <v>0</v>
      </c>
      <c r="I2" s="30" t="s">
        <v>1</v>
      </c>
      <c r="J2" s="30" t="s">
        <v>3</v>
      </c>
      <c r="K2" s="30" t="s">
        <v>306</v>
      </c>
      <c r="L2" s="30" t="s">
        <v>305</v>
      </c>
      <c r="M2" s="30" t="s">
        <v>299</v>
      </c>
      <c r="N2" s="30" t="s">
        <v>300</v>
      </c>
      <c r="O2" s="31" t="s">
        <v>5</v>
      </c>
      <c r="Q2" s="29" t="s">
        <v>0</v>
      </c>
      <c r="R2" s="30" t="s">
        <v>1</v>
      </c>
      <c r="S2" s="30" t="s">
        <v>3</v>
      </c>
      <c r="T2" s="30" t="s">
        <v>306</v>
      </c>
      <c r="U2" s="30" t="s">
        <v>305</v>
      </c>
      <c r="V2" s="30" t="s">
        <v>299</v>
      </c>
      <c r="W2" s="30" t="s">
        <v>300</v>
      </c>
      <c r="X2" s="31" t="s">
        <v>5</v>
      </c>
    </row>
    <row r="3" spans="1:25" x14ac:dyDescent="0.25">
      <c r="A3" s="14" t="s">
        <v>63</v>
      </c>
      <c r="B3" s="15">
        <v>45321</v>
      </c>
      <c r="C3" s="16">
        <v>948</v>
      </c>
      <c r="D3" s="16">
        <v>0</v>
      </c>
      <c r="E3" s="17">
        <v>672.09400000000005</v>
      </c>
      <c r="F3" s="18">
        <v>17.312999999999999</v>
      </c>
      <c r="H3" s="14" t="s">
        <v>200</v>
      </c>
      <c r="I3" s="15">
        <v>45327</v>
      </c>
      <c r="J3" s="16">
        <v>541.86900000000003</v>
      </c>
      <c r="K3" s="16">
        <v>8.64</v>
      </c>
      <c r="L3" s="16">
        <v>1.1200000000000001</v>
      </c>
      <c r="M3" s="16">
        <v>0</v>
      </c>
      <c r="N3" s="17">
        <v>668.76499999999999</v>
      </c>
      <c r="O3" s="18">
        <v>26.995999999999999</v>
      </c>
      <c r="Q3" s="14" t="s">
        <v>214</v>
      </c>
      <c r="R3" s="15">
        <v>45433</v>
      </c>
      <c r="S3" s="39">
        <v>687.26199999999994</v>
      </c>
      <c r="T3" s="39">
        <v>11.9</v>
      </c>
      <c r="U3" s="39">
        <v>0.69</v>
      </c>
      <c r="V3" s="16">
        <v>0</v>
      </c>
      <c r="W3" s="16">
        <v>619.18399999999997</v>
      </c>
      <c r="X3" s="35">
        <v>31.544</v>
      </c>
    </row>
    <row r="4" spans="1:25" x14ac:dyDescent="0.25">
      <c r="A4" s="19" t="s">
        <v>63</v>
      </c>
      <c r="B4" s="20">
        <v>45321</v>
      </c>
      <c r="C4" s="21">
        <v>948</v>
      </c>
      <c r="D4" s="21">
        <v>2025</v>
      </c>
      <c r="E4" s="22">
        <v>865.87599999999998</v>
      </c>
      <c r="F4" s="23">
        <v>76.757000000000005</v>
      </c>
      <c r="H4" s="19" t="s">
        <v>200</v>
      </c>
      <c r="I4" s="20">
        <v>45327</v>
      </c>
      <c r="J4" s="21">
        <v>541.86900000000003</v>
      </c>
      <c r="K4" s="21">
        <v>8.64</v>
      </c>
      <c r="L4" s="21">
        <v>1.1200000000000001</v>
      </c>
      <c r="M4" s="21">
        <v>2070</v>
      </c>
      <c r="N4" s="22">
        <v>995.77099999999996</v>
      </c>
      <c r="O4" s="23">
        <v>86.736999999999995</v>
      </c>
      <c r="Q4" s="19" t="s">
        <v>214</v>
      </c>
      <c r="R4" s="20">
        <v>45433</v>
      </c>
      <c r="S4" s="40">
        <v>687.26199999999994</v>
      </c>
      <c r="T4" s="40">
        <v>11.9</v>
      </c>
      <c r="U4" s="40">
        <v>0.69</v>
      </c>
      <c r="V4" s="21">
        <v>500</v>
      </c>
      <c r="W4" s="21">
        <v>616.97400000000005</v>
      </c>
      <c r="X4" s="32">
        <v>63.444000000000003</v>
      </c>
    </row>
    <row r="5" spans="1:25" x14ac:dyDescent="0.25">
      <c r="A5" s="19" t="s">
        <v>63</v>
      </c>
      <c r="B5" s="20">
        <v>45321</v>
      </c>
      <c r="C5" s="21">
        <v>948</v>
      </c>
      <c r="D5" s="21">
        <v>2075</v>
      </c>
      <c r="E5" s="22">
        <v>870.38199999999995</v>
      </c>
      <c r="F5" s="23">
        <v>77.828999999999994</v>
      </c>
      <c r="H5" s="19" t="s">
        <v>200</v>
      </c>
      <c r="I5" s="20">
        <v>45327</v>
      </c>
      <c r="J5" s="21">
        <v>541.86900000000003</v>
      </c>
      <c r="K5" s="21">
        <v>8.64</v>
      </c>
      <c r="L5" s="21">
        <v>1.1200000000000001</v>
      </c>
      <c r="M5" s="21">
        <v>2120</v>
      </c>
      <c r="N5" s="22">
        <v>1005.984</v>
      </c>
      <c r="O5" s="23">
        <v>88.349000000000004</v>
      </c>
      <c r="Q5" s="19" t="s">
        <v>214</v>
      </c>
      <c r="R5" s="20">
        <v>45433</v>
      </c>
      <c r="S5" s="40">
        <v>687.26199999999994</v>
      </c>
      <c r="T5" s="40">
        <v>11.9</v>
      </c>
      <c r="U5" s="40">
        <v>0.69</v>
      </c>
      <c r="V5" s="21">
        <v>1000</v>
      </c>
      <c r="W5" s="21">
        <v>812.55499999999995</v>
      </c>
      <c r="X5" s="32">
        <v>77.709000000000003</v>
      </c>
    </row>
    <row r="6" spans="1:25" ht="16.5" thickBot="1" x14ac:dyDescent="0.3">
      <c r="A6" s="24" t="s">
        <v>63</v>
      </c>
      <c r="B6" s="25">
        <v>45321</v>
      </c>
      <c r="C6" s="26">
        <v>948</v>
      </c>
      <c r="D6" s="26">
        <v>2126</v>
      </c>
      <c r="E6" s="27">
        <v>877.55100000000004</v>
      </c>
      <c r="F6" s="28">
        <v>78.760999999999996</v>
      </c>
      <c r="H6" s="19" t="s">
        <v>200</v>
      </c>
      <c r="I6" s="20">
        <v>45327</v>
      </c>
      <c r="J6" s="21">
        <v>541.86900000000003</v>
      </c>
      <c r="K6" s="21">
        <v>8.64</v>
      </c>
      <c r="L6" s="21">
        <v>1.1200000000000001</v>
      </c>
      <c r="M6" s="21">
        <v>2170</v>
      </c>
      <c r="N6" s="22">
        <v>1011.2569999999999</v>
      </c>
      <c r="O6" s="23">
        <v>89.51</v>
      </c>
      <c r="Q6" s="19" t="s">
        <v>214</v>
      </c>
      <c r="R6" s="20">
        <v>45433</v>
      </c>
      <c r="S6" s="40">
        <v>687.26199999999994</v>
      </c>
      <c r="T6" s="40">
        <v>11.9</v>
      </c>
      <c r="U6" s="40">
        <v>0.69</v>
      </c>
      <c r="V6" s="21">
        <v>1500</v>
      </c>
      <c r="W6" s="21">
        <v>898.99099999999999</v>
      </c>
      <c r="X6" s="32">
        <v>82.998000000000005</v>
      </c>
    </row>
    <row r="7" spans="1:25" x14ac:dyDescent="0.25">
      <c r="A7" s="19" t="s">
        <v>64</v>
      </c>
      <c r="B7" s="20">
        <v>45322</v>
      </c>
      <c r="C7" s="21">
        <v>954</v>
      </c>
      <c r="D7" s="21">
        <v>0</v>
      </c>
      <c r="E7" s="22">
        <v>556.37900000000002</v>
      </c>
      <c r="F7" s="23">
        <v>15.763999999999999</v>
      </c>
      <c r="H7" s="19" t="s">
        <v>200</v>
      </c>
      <c r="I7" s="20">
        <v>45327</v>
      </c>
      <c r="J7" s="21">
        <v>541.86900000000003</v>
      </c>
      <c r="K7" s="21">
        <v>8.64</v>
      </c>
      <c r="L7" s="21">
        <v>1.1200000000000001</v>
      </c>
      <c r="M7" s="21">
        <v>2120</v>
      </c>
      <c r="N7" s="21">
        <v>1004.809</v>
      </c>
      <c r="O7" s="32">
        <v>89.361999999999995</v>
      </c>
      <c r="Q7" s="19" t="s">
        <v>214</v>
      </c>
      <c r="R7" s="20">
        <v>45433</v>
      </c>
      <c r="S7" s="40">
        <v>687.26199999999994</v>
      </c>
      <c r="T7" s="40">
        <v>11.9</v>
      </c>
      <c r="U7" s="40">
        <v>0.69</v>
      </c>
      <c r="V7" s="21">
        <v>2000</v>
      </c>
      <c r="W7" s="21">
        <v>982.15700000000004</v>
      </c>
      <c r="X7" s="32">
        <v>87.17</v>
      </c>
    </row>
    <row r="8" spans="1:25" x14ac:dyDescent="0.25">
      <c r="A8" s="19" t="s">
        <v>64</v>
      </c>
      <c r="B8" s="20">
        <v>45322</v>
      </c>
      <c r="C8" s="21">
        <v>954</v>
      </c>
      <c r="D8" s="21">
        <v>2050</v>
      </c>
      <c r="E8" s="22">
        <v>744.54899999999998</v>
      </c>
      <c r="F8" s="23">
        <v>78.546000000000006</v>
      </c>
      <c r="H8" s="19" t="s">
        <v>200</v>
      </c>
      <c r="I8" s="20">
        <v>45327</v>
      </c>
      <c r="J8" s="21">
        <v>541.86900000000003</v>
      </c>
      <c r="K8" s="21">
        <v>8.64</v>
      </c>
      <c r="L8" s="21">
        <v>1.1200000000000001</v>
      </c>
      <c r="M8" s="21">
        <v>2070</v>
      </c>
      <c r="N8" s="21">
        <v>997.14</v>
      </c>
      <c r="O8" s="32">
        <v>89.070999999999998</v>
      </c>
      <c r="Q8" s="19" t="s">
        <v>214</v>
      </c>
      <c r="R8" s="20">
        <v>45433</v>
      </c>
      <c r="S8" s="40">
        <v>687.26199999999994</v>
      </c>
      <c r="T8" s="40">
        <v>11.9</v>
      </c>
      <c r="U8" s="40">
        <v>0.69</v>
      </c>
      <c r="V8" s="21">
        <v>2115</v>
      </c>
      <c r="W8" s="21">
        <v>1000.448</v>
      </c>
      <c r="X8" s="32">
        <v>88.064999999999998</v>
      </c>
    </row>
    <row r="9" spans="1:25" ht="16.5" thickBot="1" x14ac:dyDescent="0.3">
      <c r="A9" s="19" t="s">
        <v>64</v>
      </c>
      <c r="B9" s="20">
        <v>45322</v>
      </c>
      <c r="C9" s="21">
        <v>954</v>
      </c>
      <c r="D9" s="21">
        <v>2100</v>
      </c>
      <c r="E9" s="22">
        <v>748.572</v>
      </c>
      <c r="F9" s="23">
        <v>79.977999999999994</v>
      </c>
      <c r="H9" s="19" t="s">
        <v>200</v>
      </c>
      <c r="I9" s="20">
        <v>45327</v>
      </c>
      <c r="J9" s="21">
        <v>541.86900000000003</v>
      </c>
      <c r="K9" s="21">
        <v>8.64</v>
      </c>
      <c r="L9" s="21">
        <v>1.1200000000000001</v>
      </c>
      <c r="M9" s="21">
        <v>0</v>
      </c>
      <c r="N9" s="21">
        <v>677.04100000000005</v>
      </c>
      <c r="O9" s="32">
        <v>68.393000000000001</v>
      </c>
      <c r="Q9" s="24" t="s">
        <v>214</v>
      </c>
      <c r="R9" s="25">
        <v>45433</v>
      </c>
      <c r="S9" s="41">
        <v>687.26199999999994</v>
      </c>
      <c r="T9" s="41">
        <v>11.9</v>
      </c>
      <c r="U9" s="41">
        <v>0.69</v>
      </c>
      <c r="V9" s="26">
        <v>2165</v>
      </c>
      <c r="W9" s="26">
        <v>1004.453</v>
      </c>
      <c r="X9" s="33">
        <v>88.381</v>
      </c>
      <c r="Y9" s="13">
        <f>(W9-W8)*0.068948/(V9-V8)</f>
        <v>5.522734799999993E-3</v>
      </c>
    </row>
    <row r="10" spans="1:25" ht="16.5" thickBot="1" x14ac:dyDescent="0.3">
      <c r="A10" s="19" t="s">
        <v>64</v>
      </c>
      <c r="B10" s="20">
        <v>45322</v>
      </c>
      <c r="C10" s="21">
        <v>954</v>
      </c>
      <c r="D10" s="21">
        <v>2157</v>
      </c>
      <c r="E10" s="22">
        <v>750.10699999999997</v>
      </c>
      <c r="F10" s="23">
        <v>80.727000000000004</v>
      </c>
      <c r="H10" s="19" t="s">
        <v>200</v>
      </c>
      <c r="I10" s="20">
        <v>45328</v>
      </c>
      <c r="J10" s="21">
        <v>378.30099999999999</v>
      </c>
      <c r="K10" s="21">
        <v>5.53</v>
      </c>
      <c r="L10" s="21">
        <v>0.72</v>
      </c>
      <c r="M10" s="21">
        <v>0</v>
      </c>
      <c r="N10" s="22">
        <v>859.43</v>
      </c>
      <c r="O10" s="23">
        <v>11.9</v>
      </c>
      <c r="Q10" s="14" t="s">
        <v>96</v>
      </c>
      <c r="R10" s="15">
        <v>45371</v>
      </c>
      <c r="S10" s="39">
        <v>601.28800000000001</v>
      </c>
      <c r="T10" s="39">
        <v>5.16</v>
      </c>
      <c r="U10" s="39">
        <v>0.6</v>
      </c>
      <c r="V10" s="16">
        <v>0</v>
      </c>
      <c r="W10" s="16">
        <v>532.71500000000003</v>
      </c>
      <c r="X10" s="35">
        <v>27.137</v>
      </c>
    </row>
    <row r="11" spans="1:25" x14ac:dyDescent="0.25">
      <c r="A11" s="14" t="s">
        <v>209</v>
      </c>
      <c r="B11" s="15">
        <v>45323</v>
      </c>
      <c r="C11" s="16">
        <v>1264</v>
      </c>
      <c r="D11" s="16">
        <v>0</v>
      </c>
      <c r="E11" s="17">
        <v>581.65200000000004</v>
      </c>
      <c r="F11" s="18">
        <v>12.992000000000001</v>
      </c>
      <c r="H11" s="19" t="s">
        <v>200</v>
      </c>
      <c r="I11" s="20">
        <v>45328</v>
      </c>
      <c r="J11" s="21">
        <v>378.30099999999999</v>
      </c>
      <c r="K11" s="21">
        <v>5.53</v>
      </c>
      <c r="L11" s="21">
        <v>0.72</v>
      </c>
      <c r="M11" s="21">
        <v>2070</v>
      </c>
      <c r="N11" s="22">
        <v>1100.33</v>
      </c>
      <c r="O11" s="23">
        <v>89.5</v>
      </c>
      <c r="Q11" s="19" t="s">
        <v>96</v>
      </c>
      <c r="R11" s="20">
        <v>45371</v>
      </c>
      <c r="S11" s="40">
        <v>601.28800000000001</v>
      </c>
      <c r="T11" s="40">
        <v>5.16</v>
      </c>
      <c r="U11" s="40">
        <v>0.6</v>
      </c>
      <c r="V11" s="21">
        <v>1000</v>
      </c>
      <c r="W11" s="21">
        <v>596.43100000000004</v>
      </c>
      <c r="X11" s="32">
        <v>71.241</v>
      </c>
    </row>
    <row r="12" spans="1:25" x14ac:dyDescent="0.25">
      <c r="A12" s="19" t="s">
        <v>209</v>
      </c>
      <c r="B12" s="20">
        <v>45323</v>
      </c>
      <c r="C12" s="21">
        <v>1264</v>
      </c>
      <c r="D12" s="21">
        <v>2080</v>
      </c>
      <c r="E12" s="22">
        <v>838.87300000000005</v>
      </c>
      <c r="F12" s="23">
        <v>79.691999999999993</v>
      </c>
      <c r="H12" s="19" t="s">
        <v>200</v>
      </c>
      <c r="I12" s="20">
        <v>45328</v>
      </c>
      <c r="J12" s="21">
        <v>378.30099999999999</v>
      </c>
      <c r="K12" s="21">
        <v>5.53</v>
      </c>
      <c r="L12" s="21">
        <v>0.72</v>
      </c>
      <c r="M12" s="21">
        <v>2120</v>
      </c>
      <c r="N12" s="22">
        <v>1107.3699999999999</v>
      </c>
      <c r="O12" s="23">
        <v>90.8</v>
      </c>
      <c r="Q12" s="19" t="s">
        <v>96</v>
      </c>
      <c r="R12" s="20">
        <v>45371</v>
      </c>
      <c r="S12" s="40">
        <v>601.28800000000001</v>
      </c>
      <c r="T12" s="40">
        <v>5.16</v>
      </c>
      <c r="U12" s="40">
        <v>0.6</v>
      </c>
      <c r="V12" s="21">
        <v>1500</v>
      </c>
      <c r="W12" s="21">
        <v>629.43299999999999</v>
      </c>
      <c r="X12" s="32">
        <v>77.701999999999998</v>
      </c>
    </row>
    <row r="13" spans="1:25" x14ac:dyDescent="0.25">
      <c r="A13" s="19" t="s">
        <v>209</v>
      </c>
      <c r="B13" s="20">
        <v>45323</v>
      </c>
      <c r="C13" s="21">
        <v>1264</v>
      </c>
      <c r="D13" s="21">
        <v>2130</v>
      </c>
      <c r="E13" s="22">
        <v>846.46600000000001</v>
      </c>
      <c r="F13" s="23">
        <v>81.177000000000007</v>
      </c>
      <c r="H13" s="19" t="s">
        <v>200</v>
      </c>
      <c r="I13" s="20">
        <v>45328</v>
      </c>
      <c r="J13" s="21">
        <v>378.30099999999999</v>
      </c>
      <c r="K13" s="21">
        <v>5.53</v>
      </c>
      <c r="L13" s="21">
        <v>0.72</v>
      </c>
      <c r="M13" s="21">
        <v>2170</v>
      </c>
      <c r="N13" s="22">
        <v>1132.68</v>
      </c>
      <c r="O13" s="23">
        <v>91.3</v>
      </c>
      <c r="Q13" s="19" t="s">
        <v>96</v>
      </c>
      <c r="R13" s="20">
        <v>45371</v>
      </c>
      <c r="S13" s="40">
        <v>601.28800000000001</v>
      </c>
      <c r="T13" s="40">
        <v>5.16</v>
      </c>
      <c r="U13" s="40">
        <v>0.6</v>
      </c>
      <c r="V13" s="21">
        <v>2000</v>
      </c>
      <c r="W13" s="21">
        <v>661.40800000000002</v>
      </c>
      <c r="X13" s="32">
        <v>81.254000000000005</v>
      </c>
    </row>
    <row r="14" spans="1:25" ht="16.5" thickBot="1" x14ac:dyDescent="0.3">
      <c r="A14" s="24" t="s">
        <v>209</v>
      </c>
      <c r="B14" s="25">
        <v>45323</v>
      </c>
      <c r="C14" s="26">
        <v>1264</v>
      </c>
      <c r="D14" s="26">
        <v>2182</v>
      </c>
      <c r="E14" s="27">
        <v>852.53700000000003</v>
      </c>
      <c r="F14" s="28">
        <v>82.344999999999999</v>
      </c>
      <c r="H14" s="19" t="s">
        <v>200</v>
      </c>
      <c r="I14" s="20">
        <v>45328</v>
      </c>
      <c r="J14" s="21">
        <v>248.679</v>
      </c>
      <c r="K14" s="21">
        <v>2.95</v>
      </c>
      <c r="L14" s="21">
        <v>0.31</v>
      </c>
      <c r="M14" s="21">
        <v>2170</v>
      </c>
      <c r="N14" s="22">
        <v>1165.1400000000001</v>
      </c>
      <c r="O14" s="23">
        <v>92.1</v>
      </c>
      <c r="Q14" s="24" t="s">
        <v>96</v>
      </c>
      <c r="R14" s="25">
        <v>45371</v>
      </c>
      <c r="S14" s="41">
        <v>601.28800000000001</v>
      </c>
      <c r="T14" s="41">
        <v>5.16</v>
      </c>
      <c r="U14" s="41">
        <v>0.6</v>
      </c>
      <c r="V14" s="26">
        <v>2080</v>
      </c>
      <c r="W14" s="26">
        <v>666.38499999999999</v>
      </c>
      <c r="X14" s="33">
        <v>82.637</v>
      </c>
    </row>
    <row r="15" spans="1:25" x14ac:dyDescent="0.25">
      <c r="A15" s="19" t="s">
        <v>301</v>
      </c>
      <c r="B15" s="20">
        <v>45324</v>
      </c>
      <c r="C15" s="21">
        <v>320</v>
      </c>
      <c r="D15" s="21">
        <v>0</v>
      </c>
      <c r="E15" s="22">
        <v>491.42</v>
      </c>
      <c r="F15" s="23">
        <v>10.7</v>
      </c>
      <c r="H15" s="19" t="s">
        <v>200</v>
      </c>
      <c r="I15" s="20">
        <v>45328</v>
      </c>
      <c r="J15" s="21">
        <v>248.679</v>
      </c>
      <c r="K15" s="21">
        <v>2.95</v>
      </c>
      <c r="L15" s="21">
        <v>0.31</v>
      </c>
      <c r="M15" s="21">
        <v>2120</v>
      </c>
      <c r="N15" s="22">
        <v>1160.44</v>
      </c>
      <c r="O15" s="23">
        <v>91.8</v>
      </c>
      <c r="Q15" s="14" t="s">
        <v>232</v>
      </c>
      <c r="R15" s="16" t="s">
        <v>327</v>
      </c>
      <c r="S15" s="39">
        <v>1146.6023190000001</v>
      </c>
      <c r="T15" s="39">
        <v>10.200000000000001</v>
      </c>
      <c r="U15" s="39">
        <v>0.43000000000000005</v>
      </c>
      <c r="V15" s="16">
        <v>0</v>
      </c>
      <c r="W15" s="16">
        <v>699.76300000000003</v>
      </c>
      <c r="X15" s="35">
        <v>40.802</v>
      </c>
    </row>
    <row r="16" spans="1:25" x14ac:dyDescent="0.25">
      <c r="A16" s="19" t="s">
        <v>301</v>
      </c>
      <c r="B16" s="20">
        <v>45324</v>
      </c>
      <c r="C16" s="21">
        <v>320</v>
      </c>
      <c r="D16" s="21">
        <v>1975</v>
      </c>
      <c r="E16" s="22">
        <v>658.6</v>
      </c>
      <c r="F16" s="23">
        <v>75.900000000000006</v>
      </c>
      <c r="H16" s="19" t="s">
        <v>200</v>
      </c>
      <c r="I16" s="20">
        <v>45328</v>
      </c>
      <c r="J16" s="21">
        <v>248.679</v>
      </c>
      <c r="K16" s="21">
        <v>2.95</v>
      </c>
      <c r="L16" s="21">
        <v>0.31</v>
      </c>
      <c r="M16" s="21">
        <v>2070</v>
      </c>
      <c r="N16" s="21">
        <v>1155.2</v>
      </c>
      <c r="O16" s="32">
        <v>91.3</v>
      </c>
      <c r="Q16" s="19" t="s">
        <v>232</v>
      </c>
      <c r="R16" s="20">
        <v>45479</v>
      </c>
      <c r="S16" s="40">
        <v>1146.6023190000001</v>
      </c>
      <c r="T16" s="40">
        <v>10.200000000000001</v>
      </c>
      <c r="U16" s="40">
        <v>0.43000000000000005</v>
      </c>
      <c r="V16" s="21">
        <v>500</v>
      </c>
      <c r="W16" s="21">
        <v>753.48</v>
      </c>
      <c r="X16" s="32">
        <v>66.305999999999997</v>
      </c>
    </row>
    <row r="17" spans="1:24" ht="16.5" thickBot="1" x14ac:dyDescent="0.3">
      <c r="A17" s="19" t="s">
        <v>301</v>
      </c>
      <c r="B17" s="20">
        <v>45324</v>
      </c>
      <c r="C17" s="21">
        <v>320</v>
      </c>
      <c r="D17" s="21">
        <v>2025</v>
      </c>
      <c r="E17" s="22">
        <v>661.72</v>
      </c>
      <c r="F17" s="23">
        <v>77.2</v>
      </c>
      <c r="H17" s="19" t="s">
        <v>200</v>
      </c>
      <c r="I17" s="20">
        <v>45328</v>
      </c>
      <c r="J17" s="21">
        <v>248.679</v>
      </c>
      <c r="K17" s="21">
        <v>2.95</v>
      </c>
      <c r="L17" s="21">
        <v>0.31</v>
      </c>
      <c r="M17" s="21">
        <v>0</v>
      </c>
      <c r="N17" s="21">
        <v>955.2</v>
      </c>
      <c r="O17" s="32">
        <v>65.3</v>
      </c>
      <c r="Q17" s="19" t="s">
        <v>232</v>
      </c>
      <c r="R17" s="20">
        <v>45479</v>
      </c>
      <c r="S17" s="40">
        <v>1146.6023190000001</v>
      </c>
      <c r="T17" s="40">
        <v>10.199999999999999</v>
      </c>
      <c r="U17" s="40">
        <v>0.43</v>
      </c>
      <c r="V17" s="21">
        <v>1000</v>
      </c>
      <c r="W17" s="21">
        <v>810.96799999999996</v>
      </c>
      <c r="X17" s="32">
        <v>75.278999999999996</v>
      </c>
    </row>
    <row r="18" spans="1:24" x14ac:dyDescent="0.25">
      <c r="A18" s="19" t="s">
        <v>301</v>
      </c>
      <c r="B18" s="20">
        <v>45324</v>
      </c>
      <c r="C18" s="21">
        <v>320</v>
      </c>
      <c r="D18" s="21">
        <v>2075</v>
      </c>
      <c r="E18" s="22">
        <v>665.35</v>
      </c>
      <c r="F18" s="23">
        <v>77.5</v>
      </c>
      <c r="H18" s="14" t="s">
        <v>247</v>
      </c>
      <c r="I18" s="15">
        <v>45325</v>
      </c>
      <c r="J18" s="16">
        <v>691.48900000000003</v>
      </c>
      <c r="K18" s="16">
        <v>4.43</v>
      </c>
      <c r="L18" s="16">
        <v>0.52</v>
      </c>
      <c r="M18" s="16">
        <v>0</v>
      </c>
      <c r="N18" s="17">
        <v>728.77</v>
      </c>
      <c r="O18" s="18">
        <v>22.7</v>
      </c>
      <c r="Q18" s="19" t="s">
        <v>232</v>
      </c>
      <c r="R18" s="20">
        <v>45479</v>
      </c>
      <c r="S18" s="40">
        <v>1146.6023190000001</v>
      </c>
      <c r="T18" s="40">
        <v>10.199999999999999</v>
      </c>
      <c r="U18" s="40">
        <v>0.43</v>
      </c>
      <c r="V18" s="21">
        <v>1500</v>
      </c>
      <c r="W18" s="21">
        <v>866.89800000000002</v>
      </c>
      <c r="X18" s="32">
        <v>81.394000000000005</v>
      </c>
    </row>
    <row r="19" spans="1:24" x14ac:dyDescent="0.25">
      <c r="A19" s="19" t="s">
        <v>301</v>
      </c>
      <c r="B19" s="20">
        <v>45324</v>
      </c>
      <c r="C19" s="21">
        <v>320</v>
      </c>
      <c r="D19" s="21">
        <v>2116</v>
      </c>
      <c r="E19" s="22">
        <v>666.74</v>
      </c>
      <c r="F19" s="23">
        <v>77.7</v>
      </c>
      <c r="H19" s="19" t="s">
        <v>247</v>
      </c>
      <c r="I19" s="20">
        <v>45325</v>
      </c>
      <c r="J19" s="21">
        <v>691.48900000000003</v>
      </c>
      <c r="K19" s="21">
        <v>4.43</v>
      </c>
      <c r="L19" s="21">
        <v>0.52</v>
      </c>
      <c r="M19" s="21">
        <v>2050</v>
      </c>
      <c r="N19" s="22">
        <v>899.96</v>
      </c>
      <c r="O19" s="23">
        <v>85</v>
      </c>
      <c r="Q19" s="19" t="s">
        <v>232</v>
      </c>
      <c r="R19" s="20">
        <v>45479</v>
      </c>
      <c r="S19" s="40">
        <v>1146.6023190000001</v>
      </c>
      <c r="T19" s="40">
        <v>10.199999999999999</v>
      </c>
      <c r="U19" s="40">
        <v>0.43</v>
      </c>
      <c r="V19" s="21">
        <v>1750</v>
      </c>
      <c r="W19" s="21">
        <v>894.01199999999994</v>
      </c>
      <c r="X19" s="32">
        <v>84.537999999999997</v>
      </c>
    </row>
    <row r="20" spans="1:24" x14ac:dyDescent="0.25">
      <c r="A20" s="19" t="s">
        <v>301</v>
      </c>
      <c r="B20" s="20">
        <v>45324</v>
      </c>
      <c r="C20" s="21">
        <v>85</v>
      </c>
      <c r="D20" s="21">
        <v>2116</v>
      </c>
      <c r="E20" s="22">
        <v>822.47</v>
      </c>
      <c r="F20" s="23">
        <v>79.599999999999994</v>
      </c>
      <c r="H20" s="19" t="s">
        <v>247</v>
      </c>
      <c r="I20" s="20">
        <v>45325</v>
      </c>
      <c r="J20" s="21">
        <v>691.48900000000003</v>
      </c>
      <c r="K20" s="21">
        <v>4.43</v>
      </c>
      <c r="L20" s="21">
        <v>0.52</v>
      </c>
      <c r="M20" s="21">
        <v>2100</v>
      </c>
      <c r="N20" s="22">
        <v>904.32</v>
      </c>
      <c r="O20" s="23">
        <v>85.6</v>
      </c>
      <c r="Q20" s="19" t="s">
        <v>232</v>
      </c>
      <c r="R20" s="20">
        <v>45479</v>
      </c>
      <c r="S20" s="40">
        <v>1146.6023190000001</v>
      </c>
      <c r="T20" s="40">
        <v>10.199999999999999</v>
      </c>
      <c r="U20" s="40">
        <v>0.43</v>
      </c>
      <c r="V20" s="21">
        <v>2000</v>
      </c>
      <c r="W20" s="21">
        <v>923.90899999999999</v>
      </c>
      <c r="X20" s="32">
        <v>87.356999999999999</v>
      </c>
    </row>
    <row r="21" spans="1:24" x14ac:dyDescent="0.25">
      <c r="A21" s="19" t="s">
        <v>301</v>
      </c>
      <c r="B21" s="20">
        <v>45324</v>
      </c>
      <c r="C21" s="21">
        <v>85</v>
      </c>
      <c r="D21" s="21">
        <v>2075</v>
      </c>
      <c r="E21" s="22">
        <v>819.9</v>
      </c>
      <c r="F21" s="23">
        <v>78.8</v>
      </c>
      <c r="H21" s="19" t="s">
        <v>247</v>
      </c>
      <c r="I21" s="20">
        <v>45325</v>
      </c>
      <c r="J21" s="21">
        <v>691.48900000000003</v>
      </c>
      <c r="K21" s="21">
        <v>4.43</v>
      </c>
      <c r="L21" s="21">
        <v>0.52</v>
      </c>
      <c r="M21" s="21">
        <v>2140</v>
      </c>
      <c r="N21" s="22">
        <v>908.61</v>
      </c>
      <c r="O21" s="23">
        <v>86</v>
      </c>
      <c r="Q21" s="19" t="s">
        <v>232</v>
      </c>
      <c r="R21" s="20">
        <v>45479</v>
      </c>
      <c r="S21" s="40">
        <v>1146.6023190000001</v>
      </c>
      <c r="T21" s="40">
        <v>10.199999999999999</v>
      </c>
      <c r="U21" s="40">
        <v>0.43</v>
      </c>
      <c r="V21" s="21">
        <v>2050</v>
      </c>
      <c r="W21" s="21">
        <v>930.125</v>
      </c>
      <c r="X21" s="32">
        <v>88.649000000000001</v>
      </c>
    </row>
    <row r="22" spans="1:24" ht="16.5" thickBot="1" x14ac:dyDescent="0.3">
      <c r="A22" s="19" t="s">
        <v>301</v>
      </c>
      <c r="B22" s="20">
        <v>45324</v>
      </c>
      <c r="C22" s="21">
        <v>85</v>
      </c>
      <c r="D22" s="21">
        <v>2025</v>
      </c>
      <c r="E22" s="22">
        <v>816.83</v>
      </c>
      <c r="F22" s="23">
        <v>78.3</v>
      </c>
      <c r="H22" s="19" t="s">
        <v>247</v>
      </c>
      <c r="I22" s="20">
        <v>45325</v>
      </c>
      <c r="J22" s="21">
        <v>691.48900000000003</v>
      </c>
      <c r="K22" s="21">
        <v>4.43</v>
      </c>
      <c r="L22" s="21">
        <v>0.52</v>
      </c>
      <c r="M22" s="21">
        <v>2190</v>
      </c>
      <c r="N22" s="22">
        <v>915.76</v>
      </c>
      <c r="O22" s="23">
        <v>86.3</v>
      </c>
      <c r="Q22" s="24" t="s">
        <v>232</v>
      </c>
      <c r="R22" s="25">
        <v>45479</v>
      </c>
      <c r="S22" s="41">
        <v>1146.6023190000001</v>
      </c>
      <c r="T22" s="41">
        <v>10.199999999999999</v>
      </c>
      <c r="U22" s="41">
        <v>0.43</v>
      </c>
      <c r="V22" s="26">
        <v>2100</v>
      </c>
      <c r="W22" s="26">
        <v>931.51900000000001</v>
      </c>
      <c r="X22" s="33">
        <v>90.741</v>
      </c>
    </row>
    <row r="23" spans="1:24" x14ac:dyDescent="0.25">
      <c r="A23" s="19" t="s">
        <v>301</v>
      </c>
      <c r="B23" s="20">
        <v>45324</v>
      </c>
      <c r="C23" s="21">
        <v>85</v>
      </c>
      <c r="D23" s="21">
        <v>1975</v>
      </c>
      <c r="E23" s="22">
        <v>813.84</v>
      </c>
      <c r="F23" s="23">
        <v>77.8</v>
      </c>
      <c r="H23" s="19" t="s">
        <v>247</v>
      </c>
      <c r="I23" s="20">
        <v>45325</v>
      </c>
      <c r="J23" s="21">
        <v>524.072</v>
      </c>
      <c r="K23" s="21">
        <v>2.96</v>
      </c>
      <c r="L23" s="21">
        <v>0.32</v>
      </c>
      <c r="M23" s="21">
        <v>2190</v>
      </c>
      <c r="N23" s="22">
        <v>978.44</v>
      </c>
      <c r="O23" s="23">
        <v>87.3</v>
      </c>
      <c r="Q23" s="14" t="s">
        <v>260</v>
      </c>
      <c r="R23" s="15">
        <v>45367</v>
      </c>
      <c r="S23" s="39">
        <v>832.53700000000003</v>
      </c>
      <c r="T23" s="39">
        <v>11.04</v>
      </c>
      <c r="U23" s="39">
        <v>0.78</v>
      </c>
      <c r="V23" s="16">
        <v>0</v>
      </c>
      <c r="W23" s="16">
        <v>596.52300000000002</v>
      </c>
      <c r="X23" s="35">
        <v>19.306000000000001</v>
      </c>
    </row>
    <row r="24" spans="1:24" ht="16.5" thickBot="1" x14ac:dyDescent="0.3">
      <c r="A24" s="19" t="s">
        <v>301</v>
      </c>
      <c r="B24" s="20">
        <v>45324</v>
      </c>
      <c r="C24" s="21">
        <v>85</v>
      </c>
      <c r="D24" s="21">
        <v>0</v>
      </c>
      <c r="E24" s="22">
        <v>696.11</v>
      </c>
      <c r="F24" s="23">
        <v>40.5</v>
      </c>
      <c r="H24" s="19" t="s">
        <v>247</v>
      </c>
      <c r="I24" s="20">
        <v>45325</v>
      </c>
      <c r="J24" s="21">
        <v>524.072</v>
      </c>
      <c r="K24" s="21">
        <v>2.96</v>
      </c>
      <c r="L24" s="21">
        <v>0.32</v>
      </c>
      <c r="M24" s="21">
        <v>2140</v>
      </c>
      <c r="N24" s="22">
        <v>975.5</v>
      </c>
      <c r="O24" s="23">
        <v>87</v>
      </c>
      <c r="Q24" s="19" t="s">
        <v>260</v>
      </c>
      <c r="R24" s="20">
        <v>45367</v>
      </c>
      <c r="S24" s="40">
        <v>832.53700000000003</v>
      </c>
      <c r="T24" s="40">
        <v>11.04</v>
      </c>
      <c r="U24" s="40">
        <v>0.78</v>
      </c>
      <c r="V24" s="21">
        <v>1000</v>
      </c>
      <c r="W24" s="21">
        <v>677.45</v>
      </c>
      <c r="X24" s="32">
        <v>58.098999999999997</v>
      </c>
    </row>
    <row r="25" spans="1:24" x14ac:dyDescent="0.25">
      <c r="A25" s="14" t="s">
        <v>33</v>
      </c>
      <c r="B25" s="15">
        <v>45324</v>
      </c>
      <c r="C25" s="16">
        <v>251</v>
      </c>
      <c r="D25" s="16">
        <v>0</v>
      </c>
      <c r="E25" s="17">
        <v>509.75900000000001</v>
      </c>
      <c r="F25" s="18">
        <v>10.207000000000001</v>
      </c>
      <c r="H25" s="19" t="s">
        <v>247</v>
      </c>
      <c r="I25" s="20">
        <v>45325</v>
      </c>
      <c r="J25" s="21">
        <v>524.072</v>
      </c>
      <c r="K25" s="21">
        <v>2.96</v>
      </c>
      <c r="L25" s="21">
        <v>0.32</v>
      </c>
      <c r="M25" s="21">
        <v>2100</v>
      </c>
      <c r="N25" s="22">
        <v>974.42</v>
      </c>
      <c r="O25" s="23">
        <v>86.8</v>
      </c>
      <c r="Q25" s="19" t="s">
        <v>260</v>
      </c>
      <c r="R25" s="20">
        <v>45367</v>
      </c>
      <c r="S25" s="40">
        <v>832.53700000000003</v>
      </c>
      <c r="T25" s="40">
        <v>11.04</v>
      </c>
      <c r="U25" s="40">
        <v>0.78</v>
      </c>
      <c r="V25" s="21">
        <v>1970</v>
      </c>
      <c r="W25" s="21">
        <v>760.529</v>
      </c>
      <c r="X25" s="32">
        <v>77.039000000000001</v>
      </c>
    </row>
    <row r="26" spans="1:24" x14ac:dyDescent="0.25">
      <c r="A26" s="19" t="s">
        <v>33</v>
      </c>
      <c r="B26" s="20">
        <v>45324</v>
      </c>
      <c r="C26" s="21">
        <v>251</v>
      </c>
      <c r="D26" s="21">
        <v>2050</v>
      </c>
      <c r="E26" s="22">
        <v>766.10400000000004</v>
      </c>
      <c r="F26" s="23">
        <v>82.637</v>
      </c>
      <c r="H26" s="19" t="s">
        <v>247</v>
      </c>
      <c r="I26" s="20">
        <v>45325</v>
      </c>
      <c r="J26" s="21">
        <v>524.072</v>
      </c>
      <c r="K26" s="21">
        <v>2.96</v>
      </c>
      <c r="L26" s="21">
        <v>0.32</v>
      </c>
      <c r="M26" s="21">
        <v>2050</v>
      </c>
      <c r="N26" s="22">
        <v>972.46</v>
      </c>
      <c r="O26" s="23">
        <v>86.5</v>
      </c>
      <c r="Q26" s="19" t="s">
        <v>260</v>
      </c>
      <c r="R26" s="20">
        <v>45367</v>
      </c>
      <c r="S26" s="40">
        <v>832.53700000000003</v>
      </c>
      <c r="T26" s="40">
        <v>11.04</v>
      </c>
      <c r="U26" s="40">
        <v>0.78</v>
      </c>
      <c r="V26" s="21">
        <v>2020</v>
      </c>
      <c r="W26" s="21">
        <v>766.95399999999995</v>
      </c>
      <c r="X26" s="32">
        <v>81.397000000000006</v>
      </c>
    </row>
    <row r="27" spans="1:24" x14ac:dyDescent="0.25">
      <c r="A27" s="19" t="s">
        <v>33</v>
      </c>
      <c r="B27" s="20">
        <v>45324</v>
      </c>
      <c r="C27" s="21">
        <v>251</v>
      </c>
      <c r="D27" s="21">
        <v>2100</v>
      </c>
      <c r="E27" s="22">
        <v>771.07899999999995</v>
      </c>
      <c r="F27" s="23">
        <v>84.712999999999994</v>
      </c>
      <c r="H27" s="19" t="s">
        <v>247</v>
      </c>
      <c r="I27" s="20">
        <v>45325</v>
      </c>
      <c r="J27" s="21">
        <v>524.072</v>
      </c>
      <c r="K27" s="21">
        <v>2.96</v>
      </c>
      <c r="L27" s="21">
        <v>0.32</v>
      </c>
      <c r="M27" s="21">
        <v>0</v>
      </c>
      <c r="N27" s="22">
        <v>827.13</v>
      </c>
      <c r="O27" s="23">
        <v>39.799999999999997</v>
      </c>
      <c r="Q27" s="19" t="s">
        <v>260</v>
      </c>
      <c r="R27" s="20">
        <v>45367</v>
      </c>
      <c r="S27" s="40">
        <v>832.53700000000003</v>
      </c>
      <c r="T27" s="40">
        <v>11.04</v>
      </c>
      <c r="U27" s="40">
        <v>0.78</v>
      </c>
      <c r="V27" s="21">
        <v>2070</v>
      </c>
      <c r="W27" s="21">
        <v>771.15800000000002</v>
      </c>
      <c r="X27" s="32">
        <v>85.822999999999993</v>
      </c>
    </row>
    <row r="28" spans="1:24" ht="16.5" thickBot="1" x14ac:dyDescent="0.3">
      <c r="A28" s="24" t="s">
        <v>33</v>
      </c>
      <c r="B28" s="25">
        <v>45324</v>
      </c>
      <c r="C28" s="26">
        <v>251</v>
      </c>
      <c r="D28" s="26">
        <v>2116</v>
      </c>
      <c r="E28" s="27">
        <v>778.64800000000002</v>
      </c>
      <c r="F28" s="28">
        <v>85.977999999999994</v>
      </c>
      <c r="H28" s="19" t="s">
        <v>247</v>
      </c>
      <c r="I28" s="20">
        <v>45326</v>
      </c>
      <c r="J28" s="21">
        <v>363.45299999999997</v>
      </c>
      <c r="K28" s="21">
        <v>2.2200000000000002</v>
      </c>
      <c r="L28" s="21">
        <v>0</v>
      </c>
      <c r="M28" s="21">
        <v>0</v>
      </c>
      <c r="N28" s="21">
        <v>870.13</v>
      </c>
      <c r="O28" s="32">
        <v>8.6999999999999993</v>
      </c>
      <c r="Q28" s="19" t="s">
        <v>260</v>
      </c>
      <c r="R28" s="20">
        <v>45367</v>
      </c>
      <c r="S28" s="40">
        <v>495.47</v>
      </c>
      <c r="T28" s="40">
        <v>7.68</v>
      </c>
      <c r="U28" s="40">
        <v>0.51</v>
      </c>
      <c r="V28" s="21">
        <v>2070</v>
      </c>
      <c r="W28" s="21">
        <v>881.84699999999998</v>
      </c>
      <c r="X28" s="32">
        <v>88.094999999999999</v>
      </c>
    </row>
    <row r="29" spans="1:24" x14ac:dyDescent="0.25">
      <c r="A29" s="19" t="s">
        <v>295</v>
      </c>
      <c r="B29" s="20">
        <v>45326</v>
      </c>
      <c r="C29" s="21">
        <v>1232</v>
      </c>
      <c r="D29" s="21">
        <v>0</v>
      </c>
      <c r="E29" s="22">
        <v>619.37199999999996</v>
      </c>
      <c r="F29" s="23">
        <v>18.931000000000001</v>
      </c>
      <c r="H29" s="19" t="s">
        <v>247</v>
      </c>
      <c r="I29" s="20">
        <v>45326</v>
      </c>
      <c r="J29" s="21">
        <v>363.45299999999997</v>
      </c>
      <c r="K29" s="21">
        <v>2.2200000000000002</v>
      </c>
      <c r="L29" s="21">
        <v>0</v>
      </c>
      <c r="M29" s="21">
        <v>2050</v>
      </c>
      <c r="N29" s="21">
        <v>1025.3800000000001</v>
      </c>
      <c r="O29" s="32">
        <v>86.1</v>
      </c>
      <c r="Q29" s="19" t="s">
        <v>260</v>
      </c>
      <c r="R29" s="20">
        <v>45367</v>
      </c>
      <c r="S29" s="40">
        <v>495.47</v>
      </c>
      <c r="T29" s="40">
        <v>7.68</v>
      </c>
      <c r="U29" s="40">
        <v>0.51</v>
      </c>
      <c r="V29" s="21">
        <v>2020</v>
      </c>
      <c r="W29" s="21">
        <v>878.47900000000004</v>
      </c>
      <c r="X29" s="32">
        <v>88.069000000000003</v>
      </c>
    </row>
    <row r="30" spans="1:24" x14ac:dyDescent="0.25">
      <c r="A30" s="19" t="s">
        <v>295</v>
      </c>
      <c r="B30" s="20">
        <v>45326</v>
      </c>
      <c r="C30" s="21">
        <v>1232</v>
      </c>
      <c r="D30" s="21">
        <v>2010</v>
      </c>
      <c r="E30" s="22">
        <v>875.05499999999995</v>
      </c>
      <c r="F30" s="23">
        <v>77.287000000000006</v>
      </c>
      <c r="H30" s="19" t="s">
        <v>247</v>
      </c>
      <c r="I30" s="20">
        <v>45326</v>
      </c>
      <c r="J30" s="21">
        <v>363.45299999999997</v>
      </c>
      <c r="K30" s="21">
        <v>2.2200000000000002</v>
      </c>
      <c r="L30" s="21">
        <v>0</v>
      </c>
      <c r="M30" s="21">
        <v>2100</v>
      </c>
      <c r="N30" s="21">
        <v>1030.24</v>
      </c>
      <c r="O30" s="32">
        <v>86.9</v>
      </c>
      <c r="Q30" s="19" t="s">
        <v>260</v>
      </c>
      <c r="R30" s="20">
        <v>45367</v>
      </c>
      <c r="S30" s="40">
        <v>495.47</v>
      </c>
      <c r="T30" s="40">
        <v>7.68</v>
      </c>
      <c r="U30" s="40">
        <v>0.51</v>
      </c>
      <c r="V30" s="21">
        <v>1970</v>
      </c>
      <c r="W30" s="21">
        <v>874.654</v>
      </c>
      <c r="X30" s="32">
        <v>87.933000000000007</v>
      </c>
    </row>
    <row r="31" spans="1:24" x14ac:dyDescent="0.25">
      <c r="A31" s="19" t="s">
        <v>295</v>
      </c>
      <c r="B31" s="20">
        <v>45326</v>
      </c>
      <c r="C31" s="21">
        <v>1232</v>
      </c>
      <c r="D31" s="21">
        <v>2060</v>
      </c>
      <c r="E31" s="22">
        <v>881.13599999999997</v>
      </c>
      <c r="F31" s="23">
        <v>78.882999999999996</v>
      </c>
      <c r="H31" s="19" t="s">
        <v>247</v>
      </c>
      <c r="I31" s="20">
        <v>45326</v>
      </c>
      <c r="J31" s="21">
        <v>363.45299999999997</v>
      </c>
      <c r="K31" s="21">
        <v>2.2200000000000002</v>
      </c>
      <c r="L31" s="21">
        <v>0</v>
      </c>
      <c r="M31" s="21">
        <v>2140</v>
      </c>
      <c r="N31" s="21">
        <v>1034.3</v>
      </c>
      <c r="O31" s="32">
        <v>87.5</v>
      </c>
      <c r="Q31" s="19" t="s">
        <v>260</v>
      </c>
      <c r="R31" s="20">
        <v>45367</v>
      </c>
      <c r="S31" s="40">
        <v>495.47</v>
      </c>
      <c r="T31" s="40">
        <v>7.68</v>
      </c>
      <c r="U31" s="40">
        <v>0.51</v>
      </c>
      <c r="V31" s="21">
        <v>1000</v>
      </c>
      <c r="W31" s="21">
        <v>807.18700000000001</v>
      </c>
      <c r="X31" s="32">
        <v>84.772999999999996</v>
      </c>
    </row>
    <row r="32" spans="1:24" ht="16.5" thickBot="1" x14ac:dyDescent="0.3">
      <c r="A32" s="19" t="s">
        <v>295</v>
      </c>
      <c r="B32" s="20">
        <v>45326</v>
      </c>
      <c r="C32" s="21">
        <v>1232</v>
      </c>
      <c r="D32" s="21">
        <v>2112</v>
      </c>
      <c r="E32" s="22">
        <v>886.21500000000003</v>
      </c>
      <c r="F32" s="23">
        <v>79.962999999999994</v>
      </c>
      <c r="H32" s="19" t="s">
        <v>247</v>
      </c>
      <c r="I32" s="20">
        <v>45326</v>
      </c>
      <c r="J32" s="21">
        <v>363.45299999999997</v>
      </c>
      <c r="K32" s="21">
        <v>2.2200000000000002</v>
      </c>
      <c r="L32" s="21">
        <v>0</v>
      </c>
      <c r="M32" s="21">
        <v>2190</v>
      </c>
      <c r="N32" s="21">
        <v>1041.0999999999999</v>
      </c>
      <c r="O32" s="32">
        <v>88.1</v>
      </c>
      <c r="Q32" s="24" t="s">
        <v>260</v>
      </c>
      <c r="R32" s="25">
        <v>45367</v>
      </c>
      <c r="S32" s="41">
        <v>495.47</v>
      </c>
      <c r="T32" s="41">
        <v>7.68</v>
      </c>
      <c r="U32" s="41">
        <v>0.51</v>
      </c>
      <c r="V32" s="26">
        <v>0</v>
      </c>
      <c r="W32" s="26">
        <v>738.98900000000003</v>
      </c>
      <c r="X32" s="33">
        <v>75.453999999999994</v>
      </c>
    </row>
    <row r="33" spans="1:24" x14ac:dyDescent="0.25">
      <c r="A33" s="14" t="s">
        <v>196</v>
      </c>
      <c r="B33" s="15">
        <v>45329</v>
      </c>
      <c r="C33" s="16">
        <v>1470</v>
      </c>
      <c r="D33" s="16">
        <v>0</v>
      </c>
      <c r="E33" s="17">
        <v>555.22400000000005</v>
      </c>
      <c r="F33" s="18">
        <v>24.550999999999998</v>
      </c>
      <c r="H33" s="19" t="s">
        <v>247</v>
      </c>
      <c r="I33" s="20">
        <v>45326</v>
      </c>
      <c r="J33" s="21">
        <v>363.45299999999997</v>
      </c>
      <c r="K33" s="21">
        <v>2.2200000000000002</v>
      </c>
      <c r="L33" s="21">
        <v>0</v>
      </c>
      <c r="M33" s="21">
        <v>2140</v>
      </c>
      <c r="N33" s="21">
        <v>1037.82</v>
      </c>
      <c r="O33" s="32">
        <v>87.7</v>
      </c>
      <c r="Q33" s="14" t="s">
        <v>205</v>
      </c>
      <c r="R33" s="15">
        <v>45347</v>
      </c>
      <c r="S33" s="39">
        <v>970.1</v>
      </c>
      <c r="T33" s="39">
        <v>10.08</v>
      </c>
      <c r="U33" s="39">
        <v>0.8</v>
      </c>
      <c r="V33" s="16">
        <v>0</v>
      </c>
      <c r="W33" s="16">
        <v>646.34</v>
      </c>
      <c r="X33" s="35">
        <v>12.2</v>
      </c>
    </row>
    <row r="34" spans="1:24" x14ac:dyDescent="0.25">
      <c r="A34" s="19" t="s">
        <v>196</v>
      </c>
      <c r="B34" s="20">
        <v>45329</v>
      </c>
      <c r="C34" s="21">
        <v>1470</v>
      </c>
      <c r="D34" s="21">
        <v>2050</v>
      </c>
      <c r="E34" s="22">
        <v>922.74400000000003</v>
      </c>
      <c r="F34" s="23">
        <v>88.787000000000006</v>
      </c>
      <c r="H34" s="19" t="s">
        <v>247</v>
      </c>
      <c r="I34" s="20">
        <v>45326</v>
      </c>
      <c r="J34" s="21">
        <v>363.45299999999997</v>
      </c>
      <c r="K34" s="21">
        <v>2.2200000000000002</v>
      </c>
      <c r="L34" s="21">
        <v>0</v>
      </c>
      <c r="M34" s="21">
        <v>2100</v>
      </c>
      <c r="N34" s="21">
        <v>1034.78</v>
      </c>
      <c r="O34" s="32">
        <v>87.4</v>
      </c>
      <c r="Q34" s="19" t="s">
        <v>205</v>
      </c>
      <c r="R34" s="20">
        <v>45347</v>
      </c>
      <c r="S34" s="40">
        <v>970.1</v>
      </c>
      <c r="T34" s="40">
        <v>10.08</v>
      </c>
      <c r="U34" s="40">
        <v>0.8</v>
      </c>
      <c r="V34" s="21">
        <v>1000</v>
      </c>
      <c r="W34" s="21">
        <v>742.36</v>
      </c>
      <c r="X34" s="32">
        <v>77.7</v>
      </c>
    </row>
    <row r="35" spans="1:24" x14ac:dyDescent="0.25">
      <c r="A35" s="19" t="s">
        <v>196</v>
      </c>
      <c r="B35" s="20">
        <v>45329</v>
      </c>
      <c r="C35" s="21">
        <v>1470</v>
      </c>
      <c r="D35" s="21">
        <v>2100</v>
      </c>
      <c r="E35" s="22">
        <v>929.46</v>
      </c>
      <c r="F35" s="23">
        <v>89.168999999999997</v>
      </c>
      <c r="H35" s="19" t="s">
        <v>247</v>
      </c>
      <c r="I35" s="20">
        <v>45326</v>
      </c>
      <c r="J35" s="21">
        <v>363.45299999999997</v>
      </c>
      <c r="K35" s="21">
        <v>2.2200000000000002</v>
      </c>
      <c r="L35" s="21">
        <v>0</v>
      </c>
      <c r="M35" s="21">
        <v>2050</v>
      </c>
      <c r="N35" s="21">
        <v>1031.53</v>
      </c>
      <c r="O35" s="32">
        <v>86.9</v>
      </c>
      <c r="Q35" s="19" t="s">
        <v>205</v>
      </c>
      <c r="R35" s="20">
        <v>45347</v>
      </c>
      <c r="S35" s="40">
        <v>970.1</v>
      </c>
      <c r="T35" s="40">
        <v>10.08</v>
      </c>
      <c r="U35" s="40">
        <v>0.8</v>
      </c>
      <c r="V35" s="21">
        <v>2030</v>
      </c>
      <c r="W35" s="21">
        <v>839.33</v>
      </c>
      <c r="X35" s="32">
        <v>87.1</v>
      </c>
    </row>
    <row r="36" spans="1:24" ht="16.5" thickBot="1" x14ac:dyDescent="0.3">
      <c r="A36" s="24" t="s">
        <v>196</v>
      </c>
      <c r="B36" s="25">
        <v>45329</v>
      </c>
      <c r="C36" s="26">
        <v>1470</v>
      </c>
      <c r="D36" s="26">
        <v>2150</v>
      </c>
      <c r="E36" s="27">
        <v>937.30799999999999</v>
      </c>
      <c r="F36" s="28">
        <v>89.512</v>
      </c>
      <c r="H36" s="24" t="s">
        <v>247</v>
      </c>
      <c r="I36" s="25">
        <v>45326</v>
      </c>
      <c r="J36" s="26">
        <v>363.45299999999997</v>
      </c>
      <c r="K36" s="26">
        <v>2.2200000000000002</v>
      </c>
      <c r="L36" s="26">
        <v>0</v>
      </c>
      <c r="M36" s="26">
        <v>0</v>
      </c>
      <c r="N36" s="26">
        <v>882.37</v>
      </c>
      <c r="O36" s="33">
        <v>49.2</v>
      </c>
      <c r="Q36" s="19" t="s">
        <v>205</v>
      </c>
      <c r="R36" s="20">
        <v>45347</v>
      </c>
      <c r="S36" s="40">
        <v>970.1</v>
      </c>
      <c r="T36" s="40">
        <v>10.08</v>
      </c>
      <c r="U36" s="40">
        <v>0.8</v>
      </c>
      <c r="V36" s="21">
        <v>2080</v>
      </c>
      <c r="W36" s="21">
        <v>844.83</v>
      </c>
      <c r="X36" s="32">
        <v>88.4</v>
      </c>
    </row>
    <row r="37" spans="1:24" x14ac:dyDescent="0.25">
      <c r="A37" s="19" t="s">
        <v>259</v>
      </c>
      <c r="B37" s="20">
        <v>45329</v>
      </c>
      <c r="C37" s="21">
        <v>1024</v>
      </c>
      <c r="D37" s="21">
        <v>0</v>
      </c>
      <c r="E37" s="22">
        <v>595.39</v>
      </c>
      <c r="F37" s="23">
        <v>15.2</v>
      </c>
      <c r="H37" s="14" t="s">
        <v>216</v>
      </c>
      <c r="I37" s="15">
        <v>45323</v>
      </c>
      <c r="J37" s="16">
        <v>235.357</v>
      </c>
      <c r="K37" s="16">
        <v>4.3099999999999996</v>
      </c>
      <c r="L37" s="16">
        <v>0</v>
      </c>
      <c r="M37" s="16">
        <v>0</v>
      </c>
      <c r="N37" s="17">
        <v>526.80999999999995</v>
      </c>
      <c r="O37" s="18">
        <v>38.299999999999997</v>
      </c>
      <c r="Q37" s="19" t="s">
        <v>205</v>
      </c>
      <c r="R37" s="20">
        <v>45347</v>
      </c>
      <c r="S37" s="40">
        <v>970.1</v>
      </c>
      <c r="T37" s="40">
        <v>10.08</v>
      </c>
      <c r="U37" s="40">
        <v>0.8</v>
      </c>
      <c r="V37" s="21">
        <v>2130</v>
      </c>
      <c r="W37" s="21">
        <v>849.48</v>
      </c>
      <c r="X37" s="32">
        <v>88.8</v>
      </c>
    </row>
    <row r="38" spans="1:24" x14ac:dyDescent="0.25">
      <c r="A38" s="19" t="s">
        <v>259</v>
      </c>
      <c r="B38" s="20">
        <v>45329</v>
      </c>
      <c r="C38" s="21">
        <v>1024</v>
      </c>
      <c r="D38" s="21">
        <v>2030</v>
      </c>
      <c r="E38" s="22">
        <v>800.87</v>
      </c>
      <c r="F38" s="23">
        <v>80.3</v>
      </c>
      <c r="H38" s="19" t="s">
        <v>216</v>
      </c>
      <c r="I38" s="20">
        <v>45323</v>
      </c>
      <c r="J38" s="21">
        <v>235.357</v>
      </c>
      <c r="K38" s="21">
        <v>4.3099999999999996</v>
      </c>
      <c r="L38" s="21">
        <v>0</v>
      </c>
      <c r="M38" s="21">
        <v>2075</v>
      </c>
      <c r="N38" s="22">
        <v>847.99</v>
      </c>
      <c r="O38" s="23">
        <v>87.1</v>
      </c>
      <c r="Q38" s="19" t="s">
        <v>205</v>
      </c>
      <c r="R38" s="20">
        <v>45347</v>
      </c>
      <c r="S38" s="40">
        <v>527.41999999999996</v>
      </c>
      <c r="T38" s="40">
        <v>6.24</v>
      </c>
      <c r="U38" s="40">
        <v>0.48</v>
      </c>
      <c r="V38" s="21">
        <v>2130</v>
      </c>
      <c r="W38" s="21">
        <v>944.29</v>
      </c>
      <c r="X38" s="32">
        <v>90.6</v>
      </c>
    </row>
    <row r="39" spans="1:24" x14ac:dyDescent="0.25">
      <c r="A39" s="19" t="s">
        <v>259</v>
      </c>
      <c r="B39" s="20">
        <v>45329</v>
      </c>
      <c r="C39" s="21">
        <v>1024</v>
      </c>
      <c r="D39" s="21">
        <v>2080</v>
      </c>
      <c r="E39" s="22">
        <v>808.11</v>
      </c>
      <c r="F39" s="23">
        <v>81.599999999999994</v>
      </c>
      <c r="H39" s="19" t="s">
        <v>216</v>
      </c>
      <c r="I39" s="20">
        <v>45323</v>
      </c>
      <c r="J39" s="21">
        <v>235.357</v>
      </c>
      <c r="K39" s="21">
        <v>4.3099999999999996</v>
      </c>
      <c r="L39" s="21">
        <v>0</v>
      </c>
      <c r="M39" s="21">
        <v>2100</v>
      </c>
      <c r="N39" s="22">
        <v>853.98</v>
      </c>
      <c r="O39" s="23">
        <v>87.4</v>
      </c>
      <c r="Q39" s="19" t="s">
        <v>205</v>
      </c>
      <c r="R39" s="20">
        <v>45347</v>
      </c>
      <c r="S39" s="40">
        <v>527.41999999999996</v>
      </c>
      <c r="T39" s="40">
        <v>6.24</v>
      </c>
      <c r="U39" s="40">
        <v>0.48</v>
      </c>
      <c r="V39" s="21">
        <v>2080</v>
      </c>
      <c r="W39" s="21">
        <v>940.52</v>
      </c>
      <c r="X39" s="32">
        <v>90.3</v>
      </c>
    </row>
    <row r="40" spans="1:24" ht="16.5" thickBot="1" x14ac:dyDescent="0.3">
      <c r="A40" s="19" t="s">
        <v>259</v>
      </c>
      <c r="B40" s="20">
        <v>45329</v>
      </c>
      <c r="C40" s="21">
        <v>1024</v>
      </c>
      <c r="D40" s="21">
        <v>2130</v>
      </c>
      <c r="E40" s="22">
        <v>812.72</v>
      </c>
      <c r="F40" s="23">
        <v>82</v>
      </c>
      <c r="H40" s="19" t="s">
        <v>216</v>
      </c>
      <c r="I40" s="20">
        <v>45323</v>
      </c>
      <c r="J40" s="21">
        <v>235.357</v>
      </c>
      <c r="K40" s="21">
        <v>4.3099999999999996</v>
      </c>
      <c r="L40" s="21">
        <v>0</v>
      </c>
      <c r="M40" s="21">
        <v>2125</v>
      </c>
      <c r="N40" s="22">
        <v>857.58</v>
      </c>
      <c r="O40" s="23">
        <v>87.8</v>
      </c>
      <c r="Q40" s="19" t="s">
        <v>205</v>
      </c>
      <c r="R40" s="20">
        <v>45347</v>
      </c>
      <c r="S40" s="40">
        <v>527.41999999999996</v>
      </c>
      <c r="T40" s="40">
        <v>6.24</v>
      </c>
      <c r="U40" s="40">
        <v>0.48</v>
      </c>
      <c r="V40" s="21">
        <v>2030</v>
      </c>
      <c r="W40" s="21">
        <v>936.32</v>
      </c>
      <c r="X40" s="32">
        <v>89.9</v>
      </c>
    </row>
    <row r="41" spans="1:24" x14ac:dyDescent="0.25">
      <c r="A41" s="14" t="s">
        <v>193</v>
      </c>
      <c r="B41" s="15">
        <v>45327</v>
      </c>
      <c r="C41" s="16">
        <v>1448</v>
      </c>
      <c r="D41" s="16">
        <v>0</v>
      </c>
      <c r="E41" s="17">
        <v>549.57000000000005</v>
      </c>
      <c r="F41" s="18">
        <v>14.8</v>
      </c>
      <c r="H41" s="19" t="s">
        <v>216</v>
      </c>
      <c r="I41" s="20">
        <v>45323</v>
      </c>
      <c r="J41" s="21">
        <v>235.357</v>
      </c>
      <c r="K41" s="21">
        <v>4.3099999999999996</v>
      </c>
      <c r="L41" s="21">
        <v>0</v>
      </c>
      <c r="M41" s="21">
        <v>2173</v>
      </c>
      <c r="N41" s="22">
        <v>867.28</v>
      </c>
      <c r="O41" s="23">
        <v>88.4</v>
      </c>
      <c r="Q41" s="19" t="s">
        <v>205</v>
      </c>
      <c r="R41" s="20">
        <v>45347</v>
      </c>
      <c r="S41" s="40">
        <v>527.41999999999996</v>
      </c>
      <c r="T41" s="40">
        <v>6.24</v>
      </c>
      <c r="U41" s="40">
        <v>0.48</v>
      </c>
      <c r="V41" s="21">
        <v>1000</v>
      </c>
      <c r="W41" s="21">
        <v>859.69</v>
      </c>
      <c r="X41" s="32">
        <v>81.8</v>
      </c>
    </row>
    <row r="42" spans="1:24" ht="16.5" thickBot="1" x14ac:dyDescent="0.3">
      <c r="A42" s="19" t="s">
        <v>193</v>
      </c>
      <c r="B42" s="20">
        <v>45327</v>
      </c>
      <c r="C42" s="21">
        <v>1448</v>
      </c>
      <c r="D42" s="21">
        <v>2070</v>
      </c>
      <c r="E42" s="22">
        <v>843.43</v>
      </c>
      <c r="F42" s="23">
        <v>82.1</v>
      </c>
      <c r="H42" s="19" t="s">
        <v>216</v>
      </c>
      <c r="I42" s="20">
        <v>45323</v>
      </c>
      <c r="J42" s="21">
        <v>172.983</v>
      </c>
      <c r="K42" s="21">
        <v>2.89</v>
      </c>
      <c r="L42" s="21">
        <v>0</v>
      </c>
      <c r="M42" s="21">
        <v>2173</v>
      </c>
      <c r="N42" s="22">
        <v>905.7</v>
      </c>
      <c r="O42" s="23">
        <v>88.5</v>
      </c>
      <c r="Q42" s="24" t="s">
        <v>205</v>
      </c>
      <c r="R42" s="25">
        <v>45347</v>
      </c>
      <c r="S42" s="41">
        <v>527.41999999999996</v>
      </c>
      <c r="T42" s="41">
        <v>6.24</v>
      </c>
      <c r="U42" s="41">
        <v>0.48</v>
      </c>
      <c r="V42" s="26">
        <v>0</v>
      </c>
      <c r="W42" s="26">
        <v>790.75</v>
      </c>
      <c r="X42" s="33">
        <v>58.3</v>
      </c>
    </row>
    <row r="43" spans="1:24" x14ac:dyDescent="0.25">
      <c r="A43" s="19" t="s">
        <v>193</v>
      </c>
      <c r="B43" s="20">
        <v>45327</v>
      </c>
      <c r="C43" s="21">
        <v>1448</v>
      </c>
      <c r="D43" s="21">
        <v>2120</v>
      </c>
      <c r="E43" s="22">
        <v>848.6</v>
      </c>
      <c r="F43" s="23">
        <v>82.6</v>
      </c>
      <c r="H43" s="19" t="s">
        <v>216</v>
      </c>
      <c r="I43" s="20">
        <v>45323</v>
      </c>
      <c r="J43" s="21">
        <v>172.983</v>
      </c>
      <c r="K43" s="21">
        <v>2.89</v>
      </c>
      <c r="L43" s="21">
        <v>0</v>
      </c>
      <c r="M43" s="21">
        <v>2125</v>
      </c>
      <c r="N43" s="22">
        <v>902.6</v>
      </c>
      <c r="O43" s="23">
        <v>88.3</v>
      </c>
      <c r="Q43" s="14" t="s">
        <v>273</v>
      </c>
      <c r="R43" s="15">
        <v>45461</v>
      </c>
      <c r="S43" s="39">
        <v>904.70500000000004</v>
      </c>
      <c r="T43" s="39">
        <v>9.6999999999999993</v>
      </c>
      <c r="U43" s="39">
        <v>0.75</v>
      </c>
      <c r="V43" s="16">
        <v>0</v>
      </c>
      <c r="W43" s="16">
        <v>593.81600000000003</v>
      </c>
      <c r="X43" s="35">
        <v>40.804000000000002</v>
      </c>
    </row>
    <row r="44" spans="1:24" ht="16.5" thickBot="1" x14ac:dyDescent="0.3">
      <c r="A44" s="24" t="s">
        <v>193</v>
      </c>
      <c r="B44" s="25">
        <v>45327</v>
      </c>
      <c r="C44" s="26">
        <v>1448</v>
      </c>
      <c r="D44" s="26">
        <v>2170</v>
      </c>
      <c r="E44" s="27">
        <v>856.86</v>
      </c>
      <c r="F44" s="28">
        <v>83.1</v>
      </c>
      <c r="H44" s="19" t="s">
        <v>216</v>
      </c>
      <c r="I44" s="20">
        <v>45323</v>
      </c>
      <c r="J44" s="21">
        <v>172.983</v>
      </c>
      <c r="K44" s="21">
        <v>2.89</v>
      </c>
      <c r="L44" s="21">
        <v>0</v>
      </c>
      <c r="M44" s="21">
        <v>2100</v>
      </c>
      <c r="N44" s="22">
        <v>900.88</v>
      </c>
      <c r="O44" s="23">
        <v>88.1</v>
      </c>
      <c r="Q44" s="19" t="s">
        <v>273</v>
      </c>
      <c r="R44" s="20">
        <v>45461</v>
      </c>
      <c r="S44" s="40">
        <v>904.70500000000004</v>
      </c>
      <c r="T44" s="40">
        <v>9.6999999999999993</v>
      </c>
      <c r="U44" s="40">
        <v>0.75</v>
      </c>
      <c r="V44" s="21">
        <v>500</v>
      </c>
      <c r="W44" s="21">
        <v>640.62</v>
      </c>
      <c r="X44" s="32">
        <v>70.933000000000007</v>
      </c>
    </row>
    <row r="45" spans="1:24" x14ac:dyDescent="0.25">
      <c r="A45" s="19" t="s">
        <v>154</v>
      </c>
      <c r="B45" s="20">
        <v>45328</v>
      </c>
      <c r="C45" s="21">
        <v>1437</v>
      </c>
      <c r="D45" s="21">
        <v>0</v>
      </c>
      <c r="E45" s="22">
        <v>580.81299999999999</v>
      </c>
      <c r="F45" s="23">
        <v>24.605</v>
      </c>
      <c r="H45" s="19" t="s">
        <v>216</v>
      </c>
      <c r="I45" s="20">
        <v>45323</v>
      </c>
      <c r="J45" s="21">
        <v>172.983</v>
      </c>
      <c r="K45" s="21">
        <v>2.89</v>
      </c>
      <c r="L45" s="21">
        <v>0</v>
      </c>
      <c r="M45" s="21">
        <v>2075</v>
      </c>
      <c r="N45" s="22">
        <v>899.26</v>
      </c>
      <c r="O45" s="23">
        <v>85.9</v>
      </c>
      <c r="Q45" s="19" t="s">
        <v>273</v>
      </c>
      <c r="R45" s="20">
        <v>45461</v>
      </c>
      <c r="S45" s="40">
        <v>904.70500000000004</v>
      </c>
      <c r="T45" s="40">
        <v>9.6999999999999993</v>
      </c>
      <c r="U45" s="40">
        <v>0.75</v>
      </c>
      <c r="V45" s="21">
        <v>1000</v>
      </c>
      <c r="W45" s="21">
        <v>689.73599999999999</v>
      </c>
      <c r="X45" s="32">
        <v>78.185000000000002</v>
      </c>
    </row>
    <row r="46" spans="1:24" ht="16.5" thickBot="1" x14ac:dyDescent="0.3">
      <c r="A46" s="19" t="s">
        <v>154</v>
      </c>
      <c r="B46" s="20">
        <v>45328</v>
      </c>
      <c r="C46" s="21">
        <v>1437</v>
      </c>
      <c r="D46" s="21">
        <v>2050</v>
      </c>
      <c r="E46" s="22">
        <v>980.06799999999998</v>
      </c>
      <c r="F46" s="23">
        <v>85.305000000000007</v>
      </c>
      <c r="H46" s="24" t="s">
        <v>216</v>
      </c>
      <c r="I46" s="25">
        <v>45323</v>
      </c>
      <c r="J46" s="26">
        <v>172.983</v>
      </c>
      <c r="K46" s="26">
        <v>2.89</v>
      </c>
      <c r="L46" s="26">
        <v>0</v>
      </c>
      <c r="M46" s="26">
        <v>0</v>
      </c>
      <c r="N46" s="27">
        <v>749.18</v>
      </c>
      <c r="O46" s="28">
        <v>35.1</v>
      </c>
      <c r="Q46" s="19" t="s">
        <v>273</v>
      </c>
      <c r="R46" s="20">
        <v>45461</v>
      </c>
      <c r="S46" s="40">
        <v>904.70500000000004</v>
      </c>
      <c r="T46" s="40">
        <v>9.6999999999999993</v>
      </c>
      <c r="U46" s="40">
        <v>0.75</v>
      </c>
      <c r="V46" s="21">
        <v>1500</v>
      </c>
      <c r="W46" s="21">
        <v>737.28</v>
      </c>
      <c r="X46" s="32">
        <v>82.991</v>
      </c>
    </row>
    <row r="47" spans="1:24" x14ac:dyDescent="0.25">
      <c r="A47" s="19" t="s">
        <v>154</v>
      </c>
      <c r="B47" s="20">
        <v>45328</v>
      </c>
      <c r="C47" s="21">
        <v>1437</v>
      </c>
      <c r="D47" s="21">
        <v>2100</v>
      </c>
      <c r="E47" s="22">
        <v>988.04399999999998</v>
      </c>
      <c r="F47" s="23">
        <v>86.123999999999995</v>
      </c>
      <c r="H47" s="14" t="s">
        <v>114</v>
      </c>
      <c r="I47" s="15">
        <v>45440</v>
      </c>
      <c r="J47" s="39">
        <v>725.87699999999995</v>
      </c>
      <c r="K47" s="39">
        <v>4.2300000000000004</v>
      </c>
      <c r="L47" s="39">
        <v>0.54</v>
      </c>
      <c r="M47" s="16">
        <v>0</v>
      </c>
      <c r="N47" s="16">
        <v>665.78800000000001</v>
      </c>
      <c r="O47" s="35">
        <v>41.064999999999998</v>
      </c>
      <c r="Q47" s="19" t="s">
        <v>273</v>
      </c>
      <c r="R47" s="20">
        <v>45461</v>
      </c>
      <c r="S47" s="40">
        <v>904.70500000000004</v>
      </c>
      <c r="T47" s="40">
        <v>9.6999999999999993</v>
      </c>
      <c r="U47" s="40">
        <v>0.75</v>
      </c>
      <c r="V47" s="21">
        <v>1950</v>
      </c>
      <c r="W47" s="21">
        <v>778.73099999999999</v>
      </c>
      <c r="X47" s="32">
        <v>86.204999999999998</v>
      </c>
    </row>
    <row r="48" spans="1:24" ht="16.5" thickBot="1" x14ac:dyDescent="0.3">
      <c r="A48" s="19" t="s">
        <v>154</v>
      </c>
      <c r="B48" s="20">
        <v>45328</v>
      </c>
      <c r="C48" s="21">
        <v>1437</v>
      </c>
      <c r="D48" s="21">
        <v>2150</v>
      </c>
      <c r="E48" s="22">
        <v>996.76</v>
      </c>
      <c r="F48" s="23">
        <v>86.569000000000003</v>
      </c>
      <c r="H48" s="19" t="s">
        <v>114</v>
      </c>
      <c r="I48" s="20">
        <v>45440</v>
      </c>
      <c r="J48" s="40">
        <v>725.87699999999995</v>
      </c>
      <c r="K48" s="40">
        <v>4.2300000000000004</v>
      </c>
      <c r="L48" s="40">
        <v>0.54</v>
      </c>
      <c r="M48" s="21">
        <v>500</v>
      </c>
      <c r="N48" s="21">
        <v>705.09799999999996</v>
      </c>
      <c r="O48" s="32">
        <v>66.542000000000002</v>
      </c>
      <c r="Q48" s="24" t="s">
        <v>273</v>
      </c>
      <c r="R48" s="25">
        <v>45461</v>
      </c>
      <c r="S48" s="41">
        <v>904.70500000000004</v>
      </c>
      <c r="T48" s="41">
        <v>9.6999999999999993</v>
      </c>
      <c r="U48" s="41">
        <v>0.75</v>
      </c>
      <c r="V48" s="26">
        <v>2000</v>
      </c>
      <c r="W48" s="26">
        <v>783.71799999999996</v>
      </c>
      <c r="X48" s="33">
        <v>86.825000000000003</v>
      </c>
    </row>
    <row r="49" spans="1:24" x14ac:dyDescent="0.25">
      <c r="A49" s="14" t="s">
        <v>218</v>
      </c>
      <c r="B49" s="15">
        <v>45330</v>
      </c>
      <c r="C49" s="16">
        <v>1374</v>
      </c>
      <c r="D49" s="16">
        <v>0</v>
      </c>
      <c r="E49" s="17">
        <v>538.83100000000002</v>
      </c>
      <c r="F49" s="18">
        <v>18.696999999999999</v>
      </c>
      <c r="H49" s="19" t="s">
        <v>114</v>
      </c>
      <c r="I49" s="20">
        <v>45440</v>
      </c>
      <c r="J49" s="40">
        <v>725.87699999999995</v>
      </c>
      <c r="K49" s="40">
        <v>4.2300000000000004</v>
      </c>
      <c r="L49" s="40">
        <v>0.54</v>
      </c>
      <c r="M49" s="21">
        <v>1000</v>
      </c>
      <c r="N49" s="21">
        <v>744.798</v>
      </c>
      <c r="O49" s="32">
        <v>72.602999999999994</v>
      </c>
      <c r="Q49" s="14" t="s">
        <v>77</v>
      </c>
      <c r="R49" s="15">
        <v>45402</v>
      </c>
      <c r="S49" s="39">
        <v>887.37356024999997</v>
      </c>
      <c r="T49" s="39">
        <v>10.920000000000003</v>
      </c>
      <c r="U49" s="39">
        <v>0.84000000000000019</v>
      </c>
      <c r="V49" s="16">
        <v>0</v>
      </c>
      <c r="W49" s="16">
        <v>604.03</v>
      </c>
      <c r="X49" s="35">
        <v>24.555</v>
      </c>
    </row>
    <row r="50" spans="1:24" x14ac:dyDescent="0.25">
      <c r="A50" s="19" t="s">
        <v>218</v>
      </c>
      <c r="B50" s="20">
        <v>45330</v>
      </c>
      <c r="C50" s="21">
        <v>1374</v>
      </c>
      <c r="D50" s="21">
        <v>2100</v>
      </c>
      <c r="E50" s="22">
        <v>804.66800000000001</v>
      </c>
      <c r="F50" s="23">
        <v>81.718000000000004</v>
      </c>
      <c r="H50" s="19" t="s">
        <v>114</v>
      </c>
      <c r="I50" s="20">
        <v>45440</v>
      </c>
      <c r="J50" s="40">
        <v>725.87699999999995</v>
      </c>
      <c r="K50" s="40">
        <v>4.2300000000000004</v>
      </c>
      <c r="L50" s="40">
        <v>0.54</v>
      </c>
      <c r="M50" s="21">
        <v>1500</v>
      </c>
      <c r="N50" s="21">
        <v>782.95100000000002</v>
      </c>
      <c r="O50" s="32">
        <v>76.941000000000003</v>
      </c>
      <c r="Q50" s="19" t="s">
        <v>77</v>
      </c>
      <c r="R50" s="20">
        <v>45402</v>
      </c>
      <c r="S50" s="40">
        <v>887.37356024999997</v>
      </c>
      <c r="T50" s="40">
        <v>10.920000000000003</v>
      </c>
      <c r="U50" s="40">
        <v>0.84000000000000019</v>
      </c>
      <c r="V50" s="21">
        <v>500</v>
      </c>
      <c r="W50" s="21">
        <v>646.59799999999996</v>
      </c>
      <c r="X50" s="32">
        <v>69.587999999999994</v>
      </c>
    </row>
    <row r="51" spans="1:24" x14ac:dyDescent="0.25">
      <c r="A51" s="19" t="s">
        <v>218</v>
      </c>
      <c r="B51" s="20">
        <v>45330</v>
      </c>
      <c r="C51" s="21">
        <v>1374</v>
      </c>
      <c r="D51" s="21">
        <v>2150</v>
      </c>
      <c r="E51" s="22">
        <v>813.64300000000003</v>
      </c>
      <c r="F51" s="23">
        <v>83.519000000000005</v>
      </c>
      <c r="H51" s="19" t="s">
        <v>114</v>
      </c>
      <c r="I51" s="20">
        <v>45440</v>
      </c>
      <c r="J51" s="40">
        <v>725.87699999999995</v>
      </c>
      <c r="K51" s="40">
        <v>4.2300000000000004</v>
      </c>
      <c r="L51" s="40">
        <v>0.54</v>
      </c>
      <c r="M51" s="21">
        <v>2000</v>
      </c>
      <c r="N51" s="21">
        <v>816.80700000000002</v>
      </c>
      <c r="O51" s="32">
        <v>80.004999999999995</v>
      </c>
      <c r="Q51" s="19" t="s">
        <v>77</v>
      </c>
      <c r="R51" s="20">
        <v>45402</v>
      </c>
      <c r="S51" s="40">
        <v>887.37356024999997</v>
      </c>
      <c r="T51" s="40">
        <v>10.920000000000003</v>
      </c>
      <c r="U51" s="40">
        <v>0.84000000000000019</v>
      </c>
      <c r="V51" s="21">
        <v>1000</v>
      </c>
      <c r="W51" s="21">
        <v>691.37699999999995</v>
      </c>
      <c r="X51" s="32">
        <v>77.405000000000001</v>
      </c>
    </row>
    <row r="52" spans="1:24" ht="16.5" thickBot="1" x14ac:dyDescent="0.3">
      <c r="A52" s="24" t="s">
        <v>218</v>
      </c>
      <c r="B52" s="25">
        <v>45330</v>
      </c>
      <c r="C52" s="26">
        <v>1374</v>
      </c>
      <c r="D52" s="26">
        <v>2200</v>
      </c>
      <c r="E52" s="27">
        <v>820.25199999999995</v>
      </c>
      <c r="F52" s="28">
        <v>84.51</v>
      </c>
      <c r="H52" s="19" t="s">
        <v>114</v>
      </c>
      <c r="I52" s="20">
        <v>45440</v>
      </c>
      <c r="J52" s="40">
        <v>725.87699999999995</v>
      </c>
      <c r="K52" s="40">
        <v>4.2300000000000004</v>
      </c>
      <c r="L52" s="40">
        <v>0.54</v>
      </c>
      <c r="M52" s="21">
        <v>2030</v>
      </c>
      <c r="N52" s="21">
        <v>821.98699999999997</v>
      </c>
      <c r="O52" s="32">
        <v>80.73</v>
      </c>
      <c r="Q52" s="19" t="s">
        <v>77</v>
      </c>
      <c r="R52" s="20">
        <v>45402</v>
      </c>
      <c r="S52" s="40">
        <v>887.37356024999997</v>
      </c>
      <c r="T52" s="40">
        <v>10.920000000000003</v>
      </c>
      <c r="U52" s="40">
        <v>0.84000000000000019</v>
      </c>
      <c r="V52" s="21">
        <v>1500</v>
      </c>
      <c r="W52" s="21">
        <v>735.33299999999997</v>
      </c>
      <c r="X52" s="32">
        <v>81.896000000000001</v>
      </c>
    </row>
    <row r="53" spans="1:24" x14ac:dyDescent="0.25">
      <c r="A53" s="19" t="s">
        <v>228</v>
      </c>
      <c r="B53" s="20">
        <v>45325</v>
      </c>
      <c r="C53" s="21">
        <v>489</v>
      </c>
      <c r="D53" s="21">
        <v>0</v>
      </c>
      <c r="E53" s="22">
        <v>529.91099999999994</v>
      </c>
      <c r="F53" s="23">
        <v>17.832999999999998</v>
      </c>
      <c r="H53" s="14" t="s">
        <v>208</v>
      </c>
      <c r="I53" s="15">
        <v>45397</v>
      </c>
      <c r="J53" s="39">
        <v>927.70754024999997</v>
      </c>
      <c r="K53" s="39">
        <v>10.080000000000004</v>
      </c>
      <c r="L53" s="39">
        <v>0.68400000000000027</v>
      </c>
      <c r="M53" s="16">
        <v>0</v>
      </c>
      <c r="N53" s="16">
        <v>647.41999999999996</v>
      </c>
      <c r="O53" s="35">
        <v>27.8</v>
      </c>
      <c r="Q53" s="19" t="s">
        <v>77</v>
      </c>
      <c r="R53" s="20">
        <v>45402</v>
      </c>
      <c r="S53" s="40">
        <v>887.37356024999997</v>
      </c>
      <c r="T53" s="40">
        <v>10.920000000000003</v>
      </c>
      <c r="U53" s="40">
        <v>0.84000000000000019</v>
      </c>
      <c r="V53" s="21">
        <v>1890</v>
      </c>
      <c r="W53" s="21">
        <v>769.63400000000001</v>
      </c>
      <c r="X53" s="32">
        <v>84.95</v>
      </c>
    </row>
    <row r="54" spans="1:24" x14ac:dyDescent="0.25">
      <c r="A54" s="19" t="s">
        <v>228</v>
      </c>
      <c r="B54" s="20">
        <v>45325</v>
      </c>
      <c r="C54" s="21">
        <v>489</v>
      </c>
      <c r="D54" s="21">
        <v>2050</v>
      </c>
      <c r="E54" s="22">
        <v>853.49599999999998</v>
      </c>
      <c r="F54" s="23">
        <v>84.778000000000006</v>
      </c>
      <c r="H54" s="19" t="s">
        <v>208</v>
      </c>
      <c r="I54" s="20">
        <v>45397</v>
      </c>
      <c r="J54" s="40">
        <v>927.70754024999997</v>
      </c>
      <c r="K54" s="40">
        <v>10.080000000000004</v>
      </c>
      <c r="L54" s="40">
        <v>0.68400000000000027</v>
      </c>
      <c r="M54" s="21">
        <v>500</v>
      </c>
      <c r="N54" s="21">
        <v>696.45</v>
      </c>
      <c r="O54" s="32">
        <v>68.2</v>
      </c>
      <c r="Q54" s="19" t="s">
        <v>77</v>
      </c>
      <c r="R54" s="20">
        <v>45402</v>
      </c>
      <c r="S54" s="40">
        <v>887.37356024999997</v>
      </c>
      <c r="T54" s="40">
        <v>10.920000000000003</v>
      </c>
      <c r="U54" s="40">
        <v>0.84000000000000019</v>
      </c>
      <c r="V54" s="21">
        <v>1940</v>
      </c>
      <c r="W54" s="21">
        <v>774.37900000000002</v>
      </c>
      <c r="X54" s="32">
        <v>85.671000000000006</v>
      </c>
    </row>
    <row r="55" spans="1:24" ht="16.5" thickBot="1" x14ac:dyDescent="0.3">
      <c r="A55" s="19" t="s">
        <v>228</v>
      </c>
      <c r="B55" s="20">
        <v>45325</v>
      </c>
      <c r="C55" s="21">
        <v>489</v>
      </c>
      <c r="D55" s="21">
        <v>2100</v>
      </c>
      <c r="E55" s="22">
        <v>859.60199999999998</v>
      </c>
      <c r="F55" s="23">
        <v>86.847999999999999</v>
      </c>
      <c r="H55" s="19" t="s">
        <v>208</v>
      </c>
      <c r="I55" s="20">
        <v>45397</v>
      </c>
      <c r="J55" s="40">
        <v>927.70754024999997</v>
      </c>
      <c r="K55" s="40">
        <v>10.080000000000004</v>
      </c>
      <c r="L55" s="40">
        <v>0.68400000000000027</v>
      </c>
      <c r="M55" s="21">
        <v>1000</v>
      </c>
      <c r="N55" s="21">
        <v>744.96</v>
      </c>
      <c r="O55" s="32">
        <v>73.7</v>
      </c>
      <c r="Q55" s="24" t="s">
        <v>77</v>
      </c>
      <c r="R55" s="25">
        <v>45402</v>
      </c>
      <c r="S55" s="41">
        <v>887.37356024999997</v>
      </c>
      <c r="T55" s="41">
        <v>10.920000000000003</v>
      </c>
      <c r="U55" s="41">
        <v>0.84000000000000019</v>
      </c>
      <c r="V55" s="26">
        <v>1990</v>
      </c>
      <c r="W55" s="26">
        <v>779.67600000000004</v>
      </c>
      <c r="X55" s="33">
        <v>86.09</v>
      </c>
    </row>
    <row r="56" spans="1:24" ht="16.5" thickBot="1" x14ac:dyDescent="0.3">
      <c r="A56" s="19" t="s">
        <v>228</v>
      </c>
      <c r="B56" s="20">
        <v>45325</v>
      </c>
      <c r="C56" s="21">
        <v>489</v>
      </c>
      <c r="D56" s="21">
        <v>2145</v>
      </c>
      <c r="E56" s="22">
        <v>864.12199999999996</v>
      </c>
      <c r="F56" s="23">
        <v>87.662000000000006</v>
      </c>
      <c r="H56" s="19" t="s">
        <v>208</v>
      </c>
      <c r="I56" s="20">
        <v>45397</v>
      </c>
      <c r="J56" s="40">
        <v>927.70754024999997</v>
      </c>
      <c r="K56" s="40">
        <v>10.080000000000004</v>
      </c>
      <c r="L56" s="40">
        <v>0.68400000000000027</v>
      </c>
      <c r="M56" s="21">
        <v>1500</v>
      </c>
      <c r="N56" s="21">
        <v>794.03</v>
      </c>
      <c r="O56" s="32">
        <v>77.7</v>
      </c>
      <c r="Q56" s="14" t="s">
        <v>226</v>
      </c>
      <c r="R56" s="15">
        <v>45455</v>
      </c>
      <c r="S56" s="39">
        <v>1089.0416684000002</v>
      </c>
      <c r="T56" s="39">
        <v>8.9711999999999996</v>
      </c>
      <c r="U56" s="39">
        <v>0.65279999999999994</v>
      </c>
      <c r="V56" s="16">
        <v>0</v>
      </c>
      <c r="W56" s="16">
        <v>692.46500000000003</v>
      </c>
      <c r="X56" s="35">
        <v>33.993000000000002</v>
      </c>
    </row>
    <row r="57" spans="1:24" x14ac:dyDescent="0.25">
      <c r="A57" s="14" t="s">
        <v>225</v>
      </c>
      <c r="B57" s="15">
        <v>45334</v>
      </c>
      <c r="C57" s="16">
        <v>486</v>
      </c>
      <c r="D57" s="16">
        <v>0</v>
      </c>
      <c r="E57" s="17">
        <v>505.1</v>
      </c>
      <c r="F57" s="18">
        <v>16.600000000000001</v>
      </c>
      <c r="H57" s="19" t="s">
        <v>208</v>
      </c>
      <c r="I57" s="20">
        <v>45397</v>
      </c>
      <c r="J57" s="40">
        <v>927.70754024999997</v>
      </c>
      <c r="K57" s="40">
        <v>10.080000000000004</v>
      </c>
      <c r="L57" s="40">
        <v>0.68400000000000027</v>
      </c>
      <c r="M57" s="21">
        <v>2000</v>
      </c>
      <c r="N57" s="21">
        <v>843.54</v>
      </c>
      <c r="O57" s="32">
        <v>81.099999999999994</v>
      </c>
      <c r="Q57" s="19" t="s">
        <v>226</v>
      </c>
      <c r="R57" s="20">
        <v>45455</v>
      </c>
      <c r="S57" s="40">
        <v>1089.0416684000002</v>
      </c>
      <c r="T57" s="40">
        <v>8.9711999999999996</v>
      </c>
      <c r="U57" s="40">
        <v>0.65279999999999994</v>
      </c>
      <c r="V57" s="21">
        <v>500</v>
      </c>
      <c r="W57" s="21">
        <v>744.36699999999996</v>
      </c>
      <c r="X57" s="32">
        <v>74.655000000000001</v>
      </c>
    </row>
    <row r="58" spans="1:24" ht="16.5" thickBot="1" x14ac:dyDescent="0.3">
      <c r="A58" s="19" t="s">
        <v>225</v>
      </c>
      <c r="B58" s="20">
        <v>45334</v>
      </c>
      <c r="C58" s="21">
        <v>486</v>
      </c>
      <c r="D58" s="21">
        <v>2095</v>
      </c>
      <c r="E58" s="22">
        <v>772.25</v>
      </c>
      <c r="F58" s="23">
        <v>84.2</v>
      </c>
      <c r="H58" s="19" t="s">
        <v>208</v>
      </c>
      <c r="I58" s="20">
        <v>45397</v>
      </c>
      <c r="J58" s="40">
        <v>927.70754024999997</v>
      </c>
      <c r="K58" s="40">
        <v>10.080000000000004</v>
      </c>
      <c r="L58" s="40">
        <v>0.68400000000000027</v>
      </c>
      <c r="M58" s="21">
        <v>2150</v>
      </c>
      <c r="N58" s="21">
        <v>858.79</v>
      </c>
      <c r="O58" s="32">
        <v>82.5</v>
      </c>
      <c r="Q58" s="19" t="s">
        <v>226</v>
      </c>
      <c r="R58" s="20">
        <v>45455</v>
      </c>
      <c r="S58" s="40">
        <v>1089.0416684000002</v>
      </c>
      <c r="T58" s="40">
        <v>8.9711999999999996</v>
      </c>
      <c r="U58" s="40">
        <v>0.65279999999999994</v>
      </c>
      <c r="V58" s="21">
        <v>1000</v>
      </c>
      <c r="W58" s="21">
        <v>799.13699999999994</v>
      </c>
      <c r="X58" s="32">
        <v>81.003</v>
      </c>
    </row>
    <row r="59" spans="1:24" x14ac:dyDescent="0.25">
      <c r="A59" s="19" t="s">
        <v>225</v>
      </c>
      <c r="B59" s="20">
        <v>45334</v>
      </c>
      <c r="C59" s="21">
        <v>486</v>
      </c>
      <c r="D59" s="21">
        <v>2145</v>
      </c>
      <c r="E59" s="22">
        <v>782.9</v>
      </c>
      <c r="F59" s="23">
        <v>85.5</v>
      </c>
      <c r="H59" s="14" t="s">
        <v>91</v>
      </c>
      <c r="I59" s="15">
        <v>45271</v>
      </c>
      <c r="J59" s="39">
        <v>351.94799999999998</v>
      </c>
      <c r="K59" s="39">
        <v>8.92</v>
      </c>
      <c r="L59" s="39">
        <v>93.74</v>
      </c>
      <c r="M59" s="16">
        <v>0</v>
      </c>
      <c r="N59" s="16">
        <v>527.64</v>
      </c>
      <c r="O59" s="35">
        <v>21.4</v>
      </c>
      <c r="Q59" s="19" t="s">
        <v>226</v>
      </c>
      <c r="R59" s="20">
        <v>45455</v>
      </c>
      <c r="S59" s="40">
        <v>1089.0416684000002</v>
      </c>
      <c r="T59" s="40">
        <v>8.9711999999999996</v>
      </c>
      <c r="U59" s="40">
        <v>0.65279999999999994</v>
      </c>
      <c r="V59" s="21">
        <v>1500</v>
      </c>
      <c r="W59" s="21">
        <v>851.96699999999998</v>
      </c>
      <c r="X59" s="32">
        <v>85.623000000000005</v>
      </c>
    </row>
    <row r="60" spans="1:24" ht="16.5" thickBot="1" x14ac:dyDescent="0.3">
      <c r="A60" s="24" t="s">
        <v>225</v>
      </c>
      <c r="B60" s="25">
        <v>45334</v>
      </c>
      <c r="C60" s="26">
        <v>486</v>
      </c>
      <c r="D60" s="26">
        <v>2195</v>
      </c>
      <c r="E60" s="27">
        <v>782.45</v>
      </c>
      <c r="F60" s="28">
        <v>85.8</v>
      </c>
      <c r="H60" s="19" t="s">
        <v>91</v>
      </c>
      <c r="I60" s="20">
        <v>45271</v>
      </c>
      <c r="J60" s="40">
        <v>351.94799999999998</v>
      </c>
      <c r="K60" s="40">
        <v>8.92</v>
      </c>
      <c r="L60" s="40">
        <v>93.74</v>
      </c>
      <c r="M60" s="21">
        <v>500</v>
      </c>
      <c r="N60" s="21">
        <v>628.55999999999995</v>
      </c>
      <c r="O60" s="32">
        <v>58.5</v>
      </c>
      <c r="Q60" s="19" t="s">
        <v>226</v>
      </c>
      <c r="R60" s="20">
        <v>45455</v>
      </c>
      <c r="S60" s="40">
        <v>1089.0416684000002</v>
      </c>
      <c r="T60" s="40">
        <v>8.9711999999999996</v>
      </c>
      <c r="U60" s="40">
        <v>0.65279999999999994</v>
      </c>
      <c r="V60" s="21">
        <v>1960</v>
      </c>
      <c r="W60" s="21">
        <v>898.678</v>
      </c>
      <c r="X60" s="32">
        <v>88.867000000000004</v>
      </c>
    </row>
    <row r="61" spans="1:24" ht="16.5" thickBot="1" x14ac:dyDescent="0.3">
      <c r="A61" s="19" t="s">
        <v>263</v>
      </c>
      <c r="B61" s="20">
        <v>45335</v>
      </c>
      <c r="C61" s="21">
        <v>333</v>
      </c>
      <c r="D61" s="21">
        <v>0</v>
      </c>
      <c r="E61" s="22">
        <v>504.34899999999999</v>
      </c>
      <c r="F61" s="23">
        <v>27.765999999999998</v>
      </c>
      <c r="H61" s="19" t="s">
        <v>91</v>
      </c>
      <c r="I61" s="20">
        <v>45271</v>
      </c>
      <c r="J61" s="40">
        <v>351.94799999999998</v>
      </c>
      <c r="K61" s="40">
        <v>8.92</v>
      </c>
      <c r="L61" s="40">
        <v>93.74</v>
      </c>
      <c r="M61" s="21">
        <v>1000</v>
      </c>
      <c r="N61" s="21">
        <v>711.15</v>
      </c>
      <c r="O61" s="32">
        <v>67.599999999999994</v>
      </c>
      <c r="Q61" s="24" t="s">
        <v>226</v>
      </c>
      <c r="R61" s="25">
        <v>45455</v>
      </c>
      <c r="S61" s="41">
        <v>1089.0416684000002</v>
      </c>
      <c r="T61" s="41">
        <v>8.9711999999999996</v>
      </c>
      <c r="U61" s="41">
        <v>0.65279999999999994</v>
      </c>
      <c r="V61" s="26">
        <v>2010</v>
      </c>
      <c r="W61" s="26">
        <v>903.28499999999997</v>
      </c>
      <c r="X61" s="33">
        <v>89.233000000000004</v>
      </c>
    </row>
    <row r="62" spans="1:24" x14ac:dyDescent="0.25">
      <c r="A62" s="19" t="s">
        <v>263</v>
      </c>
      <c r="B62" s="20">
        <v>45335</v>
      </c>
      <c r="C62" s="21">
        <v>333</v>
      </c>
      <c r="D62" s="21">
        <v>2030</v>
      </c>
      <c r="E62" s="22">
        <v>813.86400000000003</v>
      </c>
      <c r="F62" s="23">
        <v>85.79</v>
      </c>
      <c r="H62" s="19" t="s">
        <v>91</v>
      </c>
      <c r="I62" s="20">
        <v>45271</v>
      </c>
      <c r="J62" s="40">
        <v>351.94799999999998</v>
      </c>
      <c r="K62" s="40">
        <v>8.92</v>
      </c>
      <c r="L62" s="40">
        <v>93.74</v>
      </c>
      <c r="M62" s="21">
        <v>1500</v>
      </c>
      <c r="N62" s="21">
        <v>792.6</v>
      </c>
      <c r="O62" s="32">
        <v>73.5</v>
      </c>
      <c r="Q62" s="14" t="s">
        <v>109</v>
      </c>
      <c r="R62" s="15">
        <v>45366</v>
      </c>
      <c r="S62" s="39">
        <v>898.19299999999998</v>
      </c>
      <c r="T62" s="39">
        <v>12.12</v>
      </c>
      <c r="U62" s="39">
        <v>0.78</v>
      </c>
      <c r="V62" s="16">
        <v>0</v>
      </c>
      <c r="W62" s="16">
        <v>628.75199999999995</v>
      </c>
      <c r="X62" s="35">
        <v>18.16</v>
      </c>
    </row>
    <row r="63" spans="1:24" ht="16.5" thickBot="1" x14ac:dyDescent="0.3">
      <c r="A63" s="19" t="s">
        <v>263</v>
      </c>
      <c r="B63" s="20">
        <v>45335</v>
      </c>
      <c r="C63" s="21">
        <v>333</v>
      </c>
      <c r="D63" s="21">
        <v>2080</v>
      </c>
      <c r="E63" s="22">
        <v>821.95100000000002</v>
      </c>
      <c r="F63" s="23">
        <v>86.334000000000003</v>
      </c>
      <c r="H63" s="19" t="s">
        <v>91</v>
      </c>
      <c r="I63" s="20">
        <v>45271</v>
      </c>
      <c r="J63" s="40">
        <v>351.94799999999998</v>
      </c>
      <c r="K63" s="40">
        <v>8.92</v>
      </c>
      <c r="L63" s="40">
        <v>93.74</v>
      </c>
      <c r="M63" s="21">
        <v>2000</v>
      </c>
      <c r="N63" s="21">
        <v>884.9</v>
      </c>
      <c r="O63" s="32">
        <v>77.599999999999994</v>
      </c>
      <c r="Q63" s="19" t="s">
        <v>109</v>
      </c>
      <c r="R63" s="20">
        <v>45366</v>
      </c>
      <c r="S63" s="40">
        <v>898.19299999999998</v>
      </c>
      <c r="T63" s="40">
        <v>12.12</v>
      </c>
      <c r="U63" s="40">
        <v>0.78</v>
      </c>
      <c r="V63" s="21">
        <v>1000</v>
      </c>
      <c r="W63" s="21">
        <v>712.69799999999998</v>
      </c>
      <c r="X63" s="32">
        <v>60.67</v>
      </c>
    </row>
    <row r="64" spans="1:24" ht="16.5" thickBot="1" x14ac:dyDescent="0.3">
      <c r="A64" s="19" t="s">
        <v>263</v>
      </c>
      <c r="B64" s="20">
        <v>45335</v>
      </c>
      <c r="C64" s="21">
        <v>333</v>
      </c>
      <c r="D64" s="21">
        <v>2130</v>
      </c>
      <c r="E64" s="22">
        <v>828.13800000000003</v>
      </c>
      <c r="F64" s="23">
        <v>86.668000000000006</v>
      </c>
      <c r="H64" s="14" t="s">
        <v>236</v>
      </c>
      <c r="I64" s="15">
        <v>45396</v>
      </c>
      <c r="J64" s="43">
        <v>956.09294775000001</v>
      </c>
      <c r="K64" s="16">
        <v>3.120000000000001</v>
      </c>
      <c r="L64" s="16">
        <v>0.6000000000000002</v>
      </c>
      <c r="M64" s="16">
        <v>0</v>
      </c>
      <c r="N64" s="16">
        <v>658.72</v>
      </c>
      <c r="O64" s="35">
        <v>21.8</v>
      </c>
      <c r="Q64" s="19" t="s">
        <v>109</v>
      </c>
      <c r="R64" s="20">
        <v>45366</v>
      </c>
      <c r="S64" s="40">
        <v>898.19299999999998</v>
      </c>
      <c r="T64" s="40">
        <v>12.12</v>
      </c>
      <c r="U64" s="40">
        <v>0.78</v>
      </c>
      <c r="V64" s="21">
        <v>2020</v>
      </c>
      <c r="W64" s="21">
        <v>805.77</v>
      </c>
      <c r="X64" s="32">
        <v>78.849000000000004</v>
      </c>
    </row>
    <row r="65" spans="1:24" x14ac:dyDescent="0.25">
      <c r="A65" s="14" t="s">
        <v>262</v>
      </c>
      <c r="B65" s="15">
        <v>45336</v>
      </c>
      <c r="C65" s="16">
        <v>998</v>
      </c>
      <c r="D65" s="16">
        <v>0</v>
      </c>
      <c r="E65" s="17">
        <v>591.45799999999997</v>
      </c>
      <c r="F65" s="18">
        <v>24.213000000000001</v>
      </c>
      <c r="H65" s="19" t="s">
        <v>236</v>
      </c>
      <c r="I65" s="20">
        <v>45396</v>
      </c>
      <c r="J65" s="44">
        <v>956.09294775000001</v>
      </c>
      <c r="K65" s="21">
        <v>3.120000000000001</v>
      </c>
      <c r="L65" s="21">
        <v>0.6000000000000002</v>
      </c>
      <c r="M65" s="21">
        <v>500</v>
      </c>
      <c r="N65" s="21">
        <v>754.22</v>
      </c>
      <c r="O65" s="32">
        <v>74</v>
      </c>
      <c r="Q65" s="19" t="s">
        <v>109</v>
      </c>
      <c r="R65" s="20">
        <v>45366</v>
      </c>
      <c r="S65" s="40">
        <v>898.19299999999998</v>
      </c>
      <c r="T65" s="40">
        <v>12.12</v>
      </c>
      <c r="U65" s="40">
        <v>0.78</v>
      </c>
      <c r="V65" s="21">
        <v>2070</v>
      </c>
      <c r="W65" s="21">
        <v>813.03499999999997</v>
      </c>
      <c r="X65" s="32">
        <v>83.266000000000005</v>
      </c>
    </row>
    <row r="66" spans="1:24" x14ac:dyDescent="0.25">
      <c r="A66" s="19" t="s">
        <v>262</v>
      </c>
      <c r="B66" s="20">
        <v>45336</v>
      </c>
      <c r="C66" s="21">
        <v>998</v>
      </c>
      <c r="D66" s="21">
        <v>2050</v>
      </c>
      <c r="E66" s="22">
        <v>926.36</v>
      </c>
      <c r="F66" s="23">
        <v>80.938999999999993</v>
      </c>
      <c r="H66" s="19" t="s">
        <v>236</v>
      </c>
      <c r="I66" s="20">
        <v>45396</v>
      </c>
      <c r="J66" s="44">
        <v>956.09294775000001</v>
      </c>
      <c r="K66" s="21">
        <v>3.120000000000001</v>
      </c>
      <c r="L66" s="21">
        <v>0.6000000000000002</v>
      </c>
      <c r="M66" s="21">
        <v>1000</v>
      </c>
      <c r="N66" s="21">
        <v>797.92</v>
      </c>
      <c r="O66" s="32">
        <v>78.5</v>
      </c>
      <c r="Q66" s="19" t="s">
        <v>109</v>
      </c>
      <c r="R66" s="20">
        <v>45366</v>
      </c>
      <c r="S66" s="40">
        <v>898.19299999999998</v>
      </c>
      <c r="T66" s="40">
        <v>12.12</v>
      </c>
      <c r="U66" s="40">
        <v>0.78</v>
      </c>
      <c r="V66" s="21">
        <v>2120</v>
      </c>
      <c r="W66" s="21">
        <v>815.80399999999997</v>
      </c>
      <c r="X66" s="32">
        <v>87.561000000000007</v>
      </c>
    </row>
    <row r="67" spans="1:24" x14ac:dyDescent="0.25">
      <c r="A67" s="19" t="s">
        <v>262</v>
      </c>
      <c r="B67" s="20">
        <v>45336</v>
      </c>
      <c r="C67" s="21">
        <v>998</v>
      </c>
      <c r="D67" s="21">
        <v>2100</v>
      </c>
      <c r="E67" s="22">
        <v>933.822</v>
      </c>
      <c r="F67" s="23">
        <v>82.025999999999996</v>
      </c>
      <c r="H67" s="19" t="s">
        <v>236</v>
      </c>
      <c r="I67" s="20">
        <v>45396</v>
      </c>
      <c r="J67" s="44">
        <v>956.09294775000001</v>
      </c>
      <c r="K67" s="21">
        <v>3.120000000000001</v>
      </c>
      <c r="L67" s="21">
        <v>0.6000000000000002</v>
      </c>
      <c r="M67" s="21">
        <v>1500</v>
      </c>
      <c r="N67" s="21">
        <v>845.97</v>
      </c>
      <c r="O67" s="32">
        <v>82.1</v>
      </c>
      <c r="Q67" s="19" t="s">
        <v>109</v>
      </c>
      <c r="R67" s="20">
        <v>45366</v>
      </c>
      <c r="S67" s="40">
        <v>551.61099999999999</v>
      </c>
      <c r="T67" s="40">
        <v>8</v>
      </c>
      <c r="U67" s="40">
        <v>0.56000000000000005</v>
      </c>
      <c r="V67" s="21">
        <v>2120</v>
      </c>
      <c r="W67" s="21">
        <v>912.46100000000001</v>
      </c>
      <c r="X67" s="32">
        <v>89.555999999999997</v>
      </c>
    </row>
    <row r="68" spans="1:24" ht="16.5" thickBot="1" x14ac:dyDescent="0.3">
      <c r="A68" s="24" t="s">
        <v>262</v>
      </c>
      <c r="B68" s="25">
        <v>45336</v>
      </c>
      <c r="C68" s="26">
        <v>998</v>
      </c>
      <c r="D68" s="26">
        <v>2150</v>
      </c>
      <c r="E68" s="27">
        <v>941.68499999999995</v>
      </c>
      <c r="F68" s="28">
        <v>82.76</v>
      </c>
      <c r="H68" s="19" t="s">
        <v>236</v>
      </c>
      <c r="I68" s="20">
        <v>45396</v>
      </c>
      <c r="J68" s="44">
        <v>956.09294775000001</v>
      </c>
      <c r="K68" s="21">
        <v>3.120000000000001</v>
      </c>
      <c r="L68" s="21">
        <v>0.6000000000000002</v>
      </c>
      <c r="M68" s="21">
        <v>2000</v>
      </c>
      <c r="N68" s="21">
        <v>859.81</v>
      </c>
      <c r="O68" s="32">
        <v>83.3</v>
      </c>
      <c r="Q68" s="19" t="s">
        <v>109</v>
      </c>
      <c r="R68" s="20">
        <v>45366</v>
      </c>
      <c r="S68" s="40">
        <v>551.61099999999999</v>
      </c>
      <c r="T68" s="40">
        <v>8</v>
      </c>
      <c r="U68" s="40">
        <v>0.56000000000000005</v>
      </c>
      <c r="V68" s="21">
        <v>2070</v>
      </c>
      <c r="W68" s="21">
        <v>908.95500000000004</v>
      </c>
      <c r="X68" s="32">
        <v>89.524000000000001</v>
      </c>
    </row>
    <row r="69" spans="1:24" ht="16.5" thickBot="1" x14ac:dyDescent="0.3">
      <c r="A69" s="19" t="s">
        <v>223</v>
      </c>
      <c r="B69" s="20">
        <v>45337</v>
      </c>
      <c r="C69" s="21">
        <v>733</v>
      </c>
      <c r="D69" s="21">
        <v>0</v>
      </c>
      <c r="E69" s="22">
        <v>524.30700000000002</v>
      </c>
      <c r="F69" s="23">
        <v>27.327999999999999</v>
      </c>
      <c r="H69" s="24" t="s">
        <v>236</v>
      </c>
      <c r="I69" s="25">
        <v>45396</v>
      </c>
      <c r="J69" s="45">
        <v>956.09294775000001</v>
      </c>
      <c r="K69" s="26">
        <v>3.120000000000001</v>
      </c>
      <c r="L69" s="26">
        <v>0.6000000000000002</v>
      </c>
      <c r="M69" s="26">
        <v>2150</v>
      </c>
      <c r="N69" s="26">
        <v>900.1</v>
      </c>
      <c r="O69" s="33">
        <v>83.9</v>
      </c>
      <c r="Q69" s="19" t="s">
        <v>109</v>
      </c>
      <c r="R69" s="20">
        <v>45366</v>
      </c>
      <c r="S69" s="40">
        <v>551.61099999999999</v>
      </c>
      <c r="T69" s="40">
        <v>8</v>
      </c>
      <c r="U69" s="40">
        <v>0.56000000000000005</v>
      </c>
      <c r="V69" s="21">
        <v>2020</v>
      </c>
      <c r="W69" s="21">
        <v>904.70399999999995</v>
      </c>
      <c r="X69" s="32">
        <v>89.402000000000001</v>
      </c>
    </row>
    <row r="70" spans="1:24" x14ac:dyDescent="0.25">
      <c r="A70" s="19" t="s">
        <v>223</v>
      </c>
      <c r="B70" s="20">
        <v>45337</v>
      </c>
      <c r="C70" s="21">
        <v>733</v>
      </c>
      <c r="D70" s="21">
        <v>1000</v>
      </c>
      <c r="E70" s="22">
        <v>609.95799999999997</v>
      </c>
      <c r="F70" s="23">
        <v>73.927000000000007</v>
      </c>
      <c r="H70" s="14" t="s">
        <v>57</v>
      </c>
      <c r="I70" s="15">
        <v>45578</v>
      </c>
      <c r="J70" s="43">
        <v>207.161</v>
      </c>
      <c r="K70" s="16">
        <v>2.23</v>
      </c>
      <c r="L70" s="16">
        <v>0</v>
      </c>
      <c r="M70" s="16">
        <v>0</v>
      </c>
      <c r="N70" s="16">
        <v>490.447</v>
      </c>
      <c r="O70" s="35">
        <v>24.738</v>
      </c>
      <c r="Q70" s="19" t="s">
        <v>109</v>
      </c>
      <c r="R70" s="20">
        <v>45366</v>
      </c>
      <c r="S70" s="40">
        <v>551.61099999999999</v>
      </c>
      <c r="T70" s="40">
        <v>8</v>
      </c>
      <c r="U70" s="40">
        <v>0.56000000000000005</v>
      </c>
      <c r="V70" s="21">
        <v>1000</v>
      </c>
      <c r="W70" s="21">
        <v>829</v>
      </c>
      <c r="X70" s="32">
        <v>86.606999999999999</v>
      </c>
    </row>
    <row r="71" spans="1:24" ht="16.5" thickBot="1" x14ac:dyDescent="0.3">
      <c r="A71" s="19" t="s">
        <v>223</v>
      </c>
      <c r="B71" s="20">
        <v>45337</v>
      </c>
      <c r="C71" s="21">
        <v>733</v>
      </c>
      <c r="D71" s="21">
        <v>2125</v>
      </c>
      <c r="E71" s="22">
        <v>706.79399999999998</v>
      </c>
      <c r="F71" s="23">
        <v>83.448999999999998</v>
      </c>
      <c r="H71" s="19" t="s">
        <v>57</v>
      </c>
      <c r="I71" s="20">
        <v>45578</v>
      </c>
      <c r="J71" s="44">
        <v>207.161</v>
      </c>
      <c r="K71" s="21">
        <v>2.23</v>
      </c>
      <c r="L71" s="21">
        <v>0</v>
      </c>
      <c r="M71" s="21">
        <v>1000</v>
      </c>
      <c r="N71" s="21">
        <v>530.89499999999998</v>
      </c>
      <c r="O71" s="32">
        <v>41.259</v>
      </c>
      <c r="Q71" s="24" t="s">
        <v>109</v>
      </c>
      <c r="R71" s="25">
        <v>45366</v>
      </c>
      <c r="S71" s="41">
        <v>551.61099999999999</v>
      </c>
      <c r="T71" s="41">
        <v>8</v>
      </c>
      <c r="U71" s="41">
        <v>0.56000000000000005</v>
      </c>
      <c r="V71" s="26">
        <v>0</v>
      </c>
      <c r="W71" s="26">
        <v>758.02599999999995</v>
      </c>
      <c r="X71" s="33">
        <v>74.379000000000005</v>
      </c>
    </row>
    <row r="72" spans="1:24" ht="16.5" thickBot="1" x14ac:dyDescent="0.3">
      <c r="A72" s="19" t="s">
        <v>223</v>
      </c>
      <c r="B72" s="20">
        <v>45337</v>
      </c>
      <c r="C72" s="21">
        <v>733</v>
      </c>
      <c r="D72" s="21">
        <v>2225</v>
      </c>
      <c r="E72" s="22">
        <v>706.69200000000001</v>
      </c>
      <c r="F72" s="23">
        <v>85.200999999999993</v>
      </c>
      <c r="H72" s="19" t="s">
        <v>57</v>
      </c>
      <c r="I72" s="20">
        <v>45578</v>
      </c>
      <c r="J72" s="44">
        <v>207.161</v>
      </c>
      <c r="K72" s="21">
        <v>2.23</v>
      </c>
      <c r="L72" s="21">
        <v>0</v>
      </c>
      <c r="M72" s="21">
        <v>2000</v>
      </c>
      <c r="N72" s="21">
        <v>575.745</v>
      </c>
      <c r="O72" s="32">
        <v>55.585000000000001</v>
      </c>
      <c r="Q72" s="14" t="s">
        <v>270</v>
      </c>
      <c r="R72" s="15">
        <v>45342</v>
      </c>
      <c r="S72" s="39">
        <v>648.23599999999999</v>
      </c>
      <c r="T72" s="39">
        <v>8.56</v>
      </c>
      <c r="U72" s="39">
        <v>0.56000000000000005</v>
      </c>
      <c r="V72" s="16">
        <v>0</v>
      </c>
      <c r="W72" s="16">
        <v>595.36</v>
      </c>
      <c r="X72" s="35">
        <v>26.1</v>
      </c>
    </row>
    <row r="73" spans="1:24" x14ac:dyDescent="0.25">
      <c r="A73" s="14" t="s">
        <v>261</v>
      </c>
      <c r="B73" s="15">
        <v>45338</v>
      </c>
      <c r="C73" s="16">
        <v>892</v>
      </c>
      <c r="D73" s="16">
        <v>0</v>
      </c>
      <c r="E73" s="17">
        <v>573.53</v>
      </c>
      <c r="F73" s="18">
        <v>18.2</v>
      </c>
      <c r="H73" s="19" t="s">
        <v>57</v>
      </c>
      <c r="I73" s="20">
        <v>45578</v>
      </c>
      <c r="J73" s="44">
        <v>207.161</v>
      </c>
      <c r="K73" s="21">
        <v>2.23</v>
      </c>
      <c r="L73" s="21">
        <v>0</v>
      </c>
      <c r="M73" s="21">
        <v>2050</v>
      </c>
      <c r="N73" s="21">
        <v>579.125</v>
      </c>
      <c r="O73" s="32">
        <v>64.524000000000001</v>
      </c>
      <c r="Q73" s="19" t="s">
        <v>270</v>
      </c>
      <c r="R73" s="20">
        <v>45342</v>
      </c>
      <c r="S73" s="40">
        <v>648.23599999999999</v>
      </c>
      <c r="T73" s="40">
        <v>8.56</v>
      </c>
      <c r="U73" s="40">
        <v>0.56000000000000005</v>
      </c>
      <c r="V73" s="21">
        <v>1000</v>
      </c>
      <c r="W73" s="21">
        <v>672.66</v>
      </c>
      <c r="X73" s="32">
        <v>75.8</v>
      </c>
    </row>
    <row r="74" spans="1:24" x14ac:dyDescent="0.25">
      <c r="A74" s="19" t="s">
        <v>261</v>
      </c>
      <c r="B74" s="20">
        <v>45338</v>
      </c>
      <c r="C74" s="21">
        <v>892</v>
      </c>
      <c r="D74" s="21">
        <v>1000</v>
      </c>
      <c r="E74" s="22">
        <v>665.53</v>
      </c>
      <c r="F74" s="23">
        <v>70.7</v>
      </c>
      <c r="H74" s="19" t="s">
        <v>57</v>
      </c>
      <c r="I74" s="20">
        <v>45578</v>
      </c>
      <c r="J74" s="44">
        <v>207.161</v>
      </c>
      <c r="K74" s="21">
        <v>2.23</v>
      </c>
      <c r="L74" s="21">
        <v>0</v>
      </c>
      <c r="M74" s="21">
        <v>2100</v>
      </c>
      <c r="N74" s="21">
        <v>580.73599999999999</v>
      </c>
      <c r="O74" s="32">
        <v>68.456999999999994</v>
      </c>
      <c r="Q74" s="19" t="s">
        <v>270</v>
      </c>
      <c r="R74" s="20">
        <v>45342</v>
      </c>
      <c r="S74" s="40">
        <v>648.23599999999999</v>
      </c>
      <c r="T74" s="40">
        <v>8.56</v>
      </c>
      <c r="U74" s="40">
        <v>0.56000000000000005</v>
      </c>
      <c r="V74" s="21">
        <v>1980</v>
      </c>
      <c r="W74" s="21">
        <v>746.66</v>
      </c>
      <c r="X74" s="32">
        <v>86</v>
      </c>
    </row>
    <row r="75" spans="1:24" ht="16.5" thickBot="1" x14ac:dyDescent="0.3">
      <c r="A75" s="19" t="s">
        <v>261</v>
      </c>
      <c r="B75" s="20">
        <v>45338</v>
      </c>
      <c r="C75" s="21">
        <v>892</v>
      </c>
      <c r="D75" s="21">
        <v>2030</v>
      </c>
      <c r="E75" s="22">
        <v>754.7</v>
      </c>
      <c r="F75" s="23">
        <v>79.400000000000006</v>
      </c>
      <c r="H75" s="19" t="s">
        <v>57</v>
      </c>
      <c r="I75" s="20">
        <v>45578</v>
      </c>
      <c r="J75" s="44">
        <v>207.161</v>
      </c>
      <c r="K75" s="21">
        <v>2.23</v>
      </c>
      <c r="L75" s="21">
        <v>0</v>
      </c>
      <c r="M75" s="21">
        <v>2160</v>
      </c>
      <c r="N75" s="21">
        <v>578.68799999999999</v>
      </c>
      <c r="O75" s="32">
        <v>77.965999999999994</v>
      </c>
      <c r="Q75" s="19" t="s">
        <v>270</v>
      </c>
      <c r="R75" s="20">
        <v>45342</v>
      </c>
      <c r="S75" s="40">
        <v>648.23599999999999</v>
      </c>
      <c r="T75" s="40">
        <v>8.56</v>
      </c>
      <c r="U75" s="40">
        <v>0.56000000000000005</v>
      </c>
      <c r="V75" s="21">
        <v>2035</v>
      </c>
      <c r="W75" s="21">
        <v>750.93</v>
      </c>
      <c r="X75" s="32">
        <v>85.4</v>
      </c>
    </row>
    <row r="76" spans="1:24" x14ac:dyDescent="0.25">
      <c r="A76" s="19" t="s">
        <v>261</v>
      </c>
      <c r="B76" s="20">
        <v>45338</v>
      </c>
      <c r="C76" s="21">
        <v>892</v>
      </c>
      <c r="D76" s="21">
        <v>2080</v>
      </c>
      <c r="E76" s="22">
        <v>760.61</v>
      </c>
      <c r="F76" s="23">
        <v>80.2</v>
      </c>
      <c r="H76" s="14" t="s">
        <v>43</v>
      </c>
      <c r="I76" s="15">
        <v>45575</v>
      </c>
      <c r="J76" s="43">
        <v>230.15299999999999</v>
      </c>
      <c r="K76" s="16">
        <v>0.48</v>
      </c>
      <c r="L76" s="16">
        <v>0.63</v>
      </c>
      <c r="M76" s="16">
        <v>0</v>
      </c>
      <c r="N76" s="16">
        <v>524.80600000000004</v>
      </c>
      <c r="O76" s="35">
        <v>27.512</v>
      </c>
      <c r="Q76" s="19" t="s">
        <v>270</v>
      </c>
      <c r="R76" s="20">
        <v>45342</v>
      </c>
      <c r="S76" s="40">
        <v>648.23599999999999</v>
      </c>
      <c r="T76" s="40">
        <v>8.56</v>
      </c>
      <c r="U76" s="40">
        <v>0.56000000000000005</v>
      </c>
      <c r="V76" s="21">
        <v>2080</v>
      </c>
      <c r="W76" s="21">
        <v>765.89</v>
      </c>
      <c r="X76" s="32">
        <v>86.6</v>
      </c>
    </row>
    <row r="77" spans="1:24" ht="16.5" thickBot="1" x14ac:dyDescent="0.3">
      <c r="A77" s="24" t="s">
        <v>261</v>
      </c>
      <c r="B77" s="25">
        <v>45338</v>
      </c>
      <c r="C77" s="26">
        <v>892</v>
      </c>
      <c r="D77" s="26">
        <v>2130</v>
      </c>
      <c r="E77" s="27">
        <v>764.6</v>
      </c>
      <c r="F77" s="28">
        <v>80.7</v>
      </c>
      <c r="H77" s="19" t="s">
        <v>43</v>
      </c>
      <c r="I77" s="20">
        <v>45575</v>
      </c>
      <c r="J77" s="44">
        <v>230.15299999999999</v>
      </c>
      <c r="K77" s="21">
        <v>0.48</v>
      </c>
      <c r="L77" s="21">
        <v>0.63</v>
      </c>
      <c r="M77" s="21">
        <v>1000</v>
      </c>
      <c r="N77" s="21">
        <v>601.72199999999998</v>
      </c>
      <c r="O77" s="32">
        <v>40.037999999999997</v>
      </c>
      <c r="Q77" s="19" t="s">
        <v>270</v>
      </c>
      <c r="R77" s="20">
        <v>45343</v>
      </c>
      <c r="S77" s="40">
        <v>366.315</v>
      </c>
      <c r="T77" s="40">
        <v>6.24</v>
      </c>
      <c r="U77" s="40">
        <v>0.28000000000000003</v>
      </c>
      <c r="V77" s="21">
        <v>0</v>
      </c>
      <c r="W77" s="21">
        <v>736.49</v>
      </c>
      <c r="X77" s="32">
        <v>33.4</v>
      </c>
    </row>
    <row r="78" spans="1:24" x14ac:dyDescent="0.25">
      <c r="A78" s="19" t="s">
        <v>213</v>
      </c>
      <c r="B78" s="20">
        <v>45339</v>
      </c>
      <c r="C78" s="21">
        <v>1341</v>
      </c>
      <c r="D78" s="21">
        <v>0</v>
      </c>
      <c r="E78" s="22">
        <v>503.16</v>
      </c>
      <c r="F78" s="23">
        <v>19.600000000000001</v>
      </c>
      <c r="H78" s="19" t="s">
        <v>43</v>
      </c>
      <c r="I78" s="20">
        <v>45575</v>
      </c>
      <c r="J78" s="44">
        <v>230.15299999999999</v>
      </c>
      <c r="K78" s="21">
        <v>0.48</v>
      </c>
      <c r="L78" s="21">
        <v>0.63</v>
      </c>
      <c r="M78" s="21">
        <v>1500</v>
      </c>
      <c r="N78" s="21">
        <v>643.27599999999995</v>
      </c>
      <c r="O78" s="32">
        <v>53.383000000000003</v>
      </c>
      <c r="Q78" s="19" t="s">
        <v>270</v>
      </c>
      <c r="R78" s="20">
        <v>45343</v>
      </c>
      <c r="S78" s="40">
        <v>366.315</v>
      </c>
      <c r="T78" s="40">
        <v>6.24</v>
      </c>
      <c r="U78" s="40">
        <v>0.28000000000000003</v>
      </c>
      <c r="V78" s="21">
        <v>1000</v>
      </c>
      <c r="W78" s="21">
        <v>815.64</v>
      </c>
      <c r="X78" s="32">
        <v>76.099999999999994</v>
      </c>
    </row>
    <row r="79" spans="1:24" x14ac:dyDescent="0.25">
      <c r="A79" s="19" t="s">
        <v>213</v>
      </c>
      <c r="B79" s="20">
        <v>45339</v>
      </c>
      <c r="C79" s="21">
        <v>1341</v>
      </c>
      <c r="D79" s="21">
        <v>1000</v>
      </c>
      <c r="E79" s="22">
        <v>659.86</v>
      </c>
      <c r="F79" s="23">
        <v>73.400000000000006</v>
      </c>
      <c r="H79" s="19" t="s">
        <v>43</v>
      </c>
      <c r="I79" s="20">
        <v>45575</v>
      </c>
      <c r="J79" s="44">
        <v>230.15299999999999</v>
      </c>
      <c r="K79" s="21">
        <v>0.48</v>
      </c>
      <c r="L79" s="21">
        <v>0.63</v>
      </c>
      <c r="M79" s="21">
        <v>2000</v>
      </c>
      <c r="N79" s="21">
        <v>680.678</v>
      </c>
      <c r="O79" s="32">
        <v>63.215000000000003</v>
      </c>
      <c r="Q79" s="19" t="s">
        <v>270</v>
      </c>
      <c r="R79" s="20">
        <v>45343</v>
      </c>
      <c r="S79" s="40">
        <v>366.315</v>
      </c>
      <c r="T79" s="40">
        <v>6.24</v>
      </c>
      <c r="U79" s="40">
        <v>0.28000000000000003</v>
      </c>
      <c r="V79" s="21">
        <v>1980</v>
      </c>
      <c r="W79" s="21">
        <v>883.64</v>
      </c>
      <c r="X79" s="32">
        <v>86.7</v>
      </c>
    </row>
    <row r="80" spans="1:24" x14ac:dyDescent="0.25">
      <c r="A80" s="19" t="s">
        <v>213</v>
      </c>
      <c r="B80" s="20">
        <v>45339</v>
      </c>
      <c r="C80" s="21">
        <v>1341</v>
      </c>
      <c r="D80" s="21">
        <v>1925</v>
      </c>
      <c r="E80" s="22">
        <v>821.63</v>
      </c>
      <c r="F80" s="23">
        <v>81.099999999999994</v>
      </c>
      <c r="H80" s="19" t="s">
        <v>43</v>
      </c>
      <c r="I80" s="20">
        <v>45575</v>
      </c>
      <c r="J80" s="44">
        <v>230.15299999999999</v>
      </c>
      <c r="K80" s="21">
        <v>0.48</v>
      </c>
      <c r="L80" s="21">
        <v>0.63</v>
      </c>
      <c r="M80" s="21">
        <v>2050</v>
      </c>
      <c r="N80" s="21">
        <v>684.23800000000006</v>
      </c>
      <c r="O80" s="32">
        <v>68.230999999999995</v>
      </c>
      <c r="Q80" s="19" t="s">
        <v>270</v>
      </c>
      <c r="R80" s="20">
        <v>45343</v>
      </c>
      <c r="S80" s="40">
        <v>366.315</v>
      </c>
      <c r="T80" s="40">
        <v>6.24</v>
      </c>
      <c r="U80" s="40">
        <v>0.28000000000000003</v>
      </c>
      <c r="V80" s="21">
        <v>2035</v>
      </c>
      <c r="W80" s="21">
        <v>887.98</v>
      </c>
      <c r="X80" s="32">
        <v>88</v>
      </c>
    </row>
    <row r="81" spans="1:24" ht="16.5" thickBot="1" x14ac:dyDescent="0.3">
      <c r="A81" s="19" t="s">
        <v>213</v>
      </c>
      <c r="B81" s="20">
        <v>45339</v>
      </c>
      <c r="C81" s="21">
        <v>1341</v>
      </c>
      <c r="D81" s="21">
        <v>1975</v>
      </c>
      <c r="E81" s="22">
        <v>857.94</v>
      </c>
      <c r="F81" s="23">
        <v>81.3</v>
      </c>
      <c r="H81" s="19" t="s">
        <v>43</v>
      </c>
      <c r="I81" s="20">
        <v>45575</v>
      </c>
      <c r="J81" s="44">
        <v>230.15299999999999</v>
      </c>
      <c r="K81" s="21">
        <v>0.48</v>
      </c>
      <c r="L81" s="21">
        <v>0.63</v>
      </c>
      <c r="M81" s="21">
        <v>2100</v>
      </c>
      <c r="N81" s="21">
        <v>687.46100000000001</v>
      </c>
      <c r="O81" s="32">
        <v>72.331999999999994</v>
      </c>
      <c r="Q81" s="24" t="s">
        <v>270</v>
      </c>
      <c r="R81" s="25">
        <v>45343</v>
      </c>
      <c r="S81" s="41">
        <v>366.315</v>
      </c>
      <c r="T81" s="41">
        <v>6.24</v>
      </c>
      <c r="U81" s="41">
        <v>0.28000000000000003</v>
      </c>
      <c r="V81" s="26">
        <v>2080</v>
      </c>
      <c r="W81" s="26">
        <v>895.59</v>
      </c>
      <c r="X81" s="33">
        <v>89</v>
      </c>
    </row>
    <row r="82" spans="1:24" ht="16.5" thickBot="1" x14ac:dyDescent="0.3">
      <c r="A82" s="24" t="s">
        <v>213</v>
      </c>
      <c r="B82" s="25">
        <v>45339</v>
      </c>
      <c r="C82" s="26">
        <v>1341</v>
      </c>
      <c r="D82" s="26">
        <v>2025</v>
      </c>
      <c r="E82" s="27">
        <v>866.28</v>
      </c>
      <c r="F82" s="28">
        <v>82.4</v>
      </c>
      <c r="H82" s="24" t="s">
        <v>43</v>
      </c>
      <c r="I82" s="25">
        <v>45575</v>
      </c>
      <c r="J82" s="26">
        <v>230.15299999999999</v>
      </c>
      <c r="K82" s="26">
        <v>0.48</v>
      </c>
      <c r="L82" s="26">
        <v>0.63</v>
      </c>
      <c r="M82" s="26">
        <v>2120</v>
      </c>
      <c r="N82" s="26">
        <v>686.91499999999996</v>
      </c>
      <c r="O82" s="33">
        <v>78.343000000000004</v>
      </c>
      <c r="Q82" s="14" t="s">
        <v>141</v>
      </c>
      <c r="R82" s="15">
        <v>45373</v>
      </c>
      <c r="S82" s="39">
        <v>871.10699999999997</v>
      </c>
      <c r="T82" s="39">
        <v>5.88</v>
      </c>
      <c r="U82" s="39">
        <v>0.72</v>
      </c>
      <c r="V82" s="16">
        <v>0</v>
      </c>
      <c r="W82" s="16">
        <v>642.71199999999999</v>
      </c>
      <c r="X82" s="35">
        <v>27.681999999999999</v>
      </c>
    </row>
    <row r="83" spans="1:24" x14ac:dyDescent="0.25">
      <c r="A83" s="14" t="s">
        <v>84</v>
      </c>
      <c r="B83" s="15">
        <v>45357</v>
      </c>
      <c r="C83" s="16">
        <v>601</v>
      </c>
      <c r="D83" s="16">
        <v>0</v>
      </c>
      <c r="E83" s="17">
        <v>507.29700000000003</v>
      </c>
      <c r="F83" s="18">
        <v>20.611000000000001</v>
      </c>
      <c r="H83" s="14" t="s">
        <v>324</v>
      </c>
      <c r="I83" s="15">
        <v>45587</v>
      </c>
      <c r="J83" s="16">
        <v>141.02099999999999</v>
      </c>
      <c r="K83" s="16">
        <v>1.2</v>
      </c>
      <c r="L83" s="16">
        <v>0.6</v>
      </c>
      <c r="M83" s="16">
        <v>2190</v>
      </c>
      <c r="N83" s="16">
        <v>644.72500000000002</v>
      </c>
      <c r="O83" s="35">
        <v>82.700999999999993</v>
      </c>
      <c r="Q83" s="19" t="s">
        <v>141</v>
      </c>
      <c r="R83" s="20">
        <v>45373</v>
      </c>
      <c r="S83" s="40">
        <v>871.10699999999997</v>
      </c>
      <c r="T83" s="40">
        <v>5.88</v>
      </c>
      <c r="U83" s="40">
        <v>0.72</v>
      </c>
      <c r="V83" s="21">
        <v>500</v>
      </c>
      <c r="W83" s="21">
        <v>687.10799999999995</v>
      </c>
      <c r="X83" s="32">
        <v>70.176000000000002</v>
      </c>
    </row>
    <row r="84" spans="1:24" x14ac:dyDescent="0.25">
      <c r="A84" s="19" t="s">
        <v>84</v>
      </c>
      <c r="B84" s="20">
        <v>45357</v>
      </c>
      <c r="C84" s="21">
        <v>601</v>
      </c>
      <c r="D84" s="21">
        <v>1000</v>
      </c>
      <c r="E84" s="22">
        <v>571.24599999999998</v>
      </c>
      <c r="F84" s="23">
        <v>72.082999999999998</v>
      </c>
      <c r="H84" s="19" t="s">
        <v>324</v>
      </c>
      <c r="I84" s="20">
        <v>45587</v>
      </c>
      <c r="J84" s="21">
        <v>141.02099999999999</v>
      </c>
      <c r="K84" s="21">
        <v>1.2</v>
      </c>
      <c r="L84" s="21">
        <v>0.6</v>
      </c>
      <c r="M84" s="21">
        <v>2150</v>
      </c>
      <c r="N84" s="21">
        <v>640.11800000000005</v>
      </c>
      <c r="O84" s="32">
        <v>82.617000000000004</v>
      </c>
      <c r="Q84" s="19" t="s">
        <v>141</v>
      </c>
      <c r="R84" s="20">
        <v>45373</v>
      </c>
      <c r="S84" s="40">
        <v>871.10699999999997</v>
      </c>
      <c r="T84" s="40">
        <v>5.88</v>
      </c>
      <c r="U84" s="40">
        <v>0.72</v>
      </c>
      <c r="V84" s="21">
        <v>1000</v>
      </c>
      <c r="W84" s="21">
        <v>732.29100000000005</v>
      </c>
      <c r="X84" s="32">
        <v>76.849000000000004</v>
      </c>
    </row>
    <row r="85" spans="1:24" x14ac:dyDescent="0.25">
      <c r="A85" s="19" t="s">
        <v>84</v>
      </c>
      <c r="B85" s="20">
        <v>45357</v>
      </c>
      <c r="C85" s="21">
        <v>601</v>
      </c>
      <c r="D85" s="21">
        <v>1945</v>
      </c>
      <c r="E85" s="22">
        <v>633.51099999999997</v>
      </c>
      <c r="F85" s="23">
        <v>81.641999999999996</v>
      </c>
      <c r="H85" s="19" t="s">
        <v>324</v>
      </c>
      <c r="I85" s="20">
        <v>45587</v>
      </c>
      <c r="J85" s="21">
        <v>141.02099999999999</v>
      </c>
      <c r="K85" s="21">
        <v>1.2</v>
      </c>
      <c r="L85" s="21">
        <v>0.6</v>
      </c>
      <c r="M85" s="21">
        <v>2100</v>
      </c>
      <c r="N85" s="21">
        <v>633.37099999999998</v>
      </c>
      <c r="O85" s="32">
        <v>82.497</v>
      </c>
      <c r="Q85" s="19" t="s">
        <v>141</v>
      </c>
      <c r="R85" s="20">
        <v>45373</v>
      </c>
      <c r="S85" s="40">
        <v>871.10699999999997</v>
      </c>
      <c r="T85" s="40">
        <v>5.88</v>
      </c>
      <c r="U85" s="40">
        <v>0.72</v>
      </c>
      <c r="V85" s="21">
        <v>1500</v>
      </c>
      <c r="W85" s="21">
        <v>776.81100000000004</v>
      </c>
      <c r="X85" s="32">
        <v>81.677000000000007</v>
      </c>
    </row>
    <row r="86" spans="1:24" x14ac:dyDescent="0.25">
      <c r="A86" s="19" t="s">
        <v>84</v>
      </c>
      <c r="B86" s="20">
        <v>45357</v>
      </c>
      <c r="C86" s="21">
        <v>601</v>
      </c>
      <c r="D86" s="21">
        <v>1995</v>
      </c>
      <c r="E86" s="22">
        <v>638.02300000000002</v>
      </c>
      <c r="F86" s="23">
        <v>83.337000000000003</v>
      </c>
      <c r="H86" s="19" t="s">
        <v>324</v>
      </c>
      <c r="I86" s="20">
        <v>45587</v>
      </c>
      <c r="J86" s="21">
        <v>141.02099999999999</v>
      </c>
      <c r="K86" s="21">
        <v>1.2</v>
      </c>
      <c r="L86" s="21">
        <v>0.6</v>
      </c>
      <c r="M86" s="21">
        <v>2050</v>
      </c>
      <c r="N86" s="21">
        <v>628.24699999999996</v>
      </c>
      <c r="O86" s="32">
        <v>82.387</v>
      </c>
      <c r="P86" s="37"/>
      <c r="Q86" s="19" t="s">
        <v>141</v>
      </c>
      <c r="R86" s="20">
        <v>45373</v>
      </c>
      <c r="S86" s="40">
        <v>871.10699999999997</v>
      </c>
      <c r="T86" s="40">
        <v>5.88</v>
      </c>
      <c r="U86" s="40">
        <v>0.72</v>
      </c>
      <c r="V86" s="21">
        <v>2000</v>
      </c>
      <c r="W86" s="21">
        <v>820.55</v>
      </c>
      <c r="X86" s="32">
        <v>85.313000000000002</v>
      </c>
    </row>
    <row r="87" spans="1:24" ht="16.5" thickBot="1" x14ac:dyDescent="0.3">
      <c r="A87" s="19" t="s">
        <v>84</v>
      </c>
      <c r="B87" s="20">
        <v>45357</v>
      </c>
      <c r="C87" s="21">
        <v>601</v>
      </c>
      <c r="D87" s="21">
        <v>2045</v>
      </c>
      <c r="E87" s="22">
        <v>642.58500000000004</v>
      </c>
      <c r="F87" s="23">
        <v>83.997</v>
      </c>
      <c r="H87" s="19" t="s">
        <v>324</v>
      </c>
      <c r="I87" s="20">
        <v>45587</v>
      </c>
      <c r="J87" s="21">
        <v>141.02099999999999</v>
      </c>
      <c r="K87" s="21">
        <v>1.2</v>
      </c>
      <c r="L87" s="21">
        <v>0.6</v>
      </c>
      <c r="M87" s="21">
        <v>2000</v>
      </c>
      <c r="N87" s="21">
        <v>622.45100000000002</v>
      </c>
      <c r="O87" s="32">
        <v>82.244</v>
      </c>
      <c r="P87" s="37"/>
      <c r="Q87" s="24" t="s">
        <v>141</v>
      </c>
      <c r="R87" s="25">
        <v>45373</v>
      </c>
      <c r="S87" s="41">
        <v>871.10699999999997</v>
      </c>
      <c r="T87" s="41">
        <v>5.88</v>
      </c>
      <c r="U87" s="41">
        <v>0.72</v>
      </c>
      <c r="V87" s="26">
        <v>2130</v>
      </c>
      <c r="W87" s="26">
        <v>831.76900000000001</v>
      </c>
      <c r="X87" s="33">
        <v>87.334000000000003</v>
      </c>
    </row>
    <row r="88" spans="1:24" x14ac:dyDescent="0.25">
      <c r="A88" s="19" t="s">
        <v>84</v>
      </c>
      <c r="B88" s="20">
        <v>45357</v>
      </c>
      <c r="C88" s="21">
        <v>371</v>
      </c>
      <c r="D88" s="21">
        <v>2045</v>
      </c>
      <c r="E88" s="22">
        <v>842.15700000000004</v>
      </c>
      <c r="F88" s="23">
        <v>87.573999999999998</v>
      </c>
      <c r="H88" s="19" t="s">
        <v>324</v>
      </c>
      <c r="I88" s="20">
        <v>45587</v>
      </c>
      <c r="J88" s="21">
        <v>141.02099999999999</v>
      </c>
      <c r="K88" s="21">
        <v>1.2</v>
      </c>
      <c r="L88" s="21">
        <v>0.6</v>
      </c>
      <c r="M88" s="21">
        <v>1000</v>
      </c>
      <c r="N88" s="21">
        <v>553.71900000000005</v>
      </c>
      <c r="O88" s="32">
        <v>77.623999999999995</v>
      </c>
      <c r="P88" s="37"/>
      <c r="Q88" s="14" t="s">
        <v>187</v>
      </c>
      <c r="R88" s="15">
        <v>45439</v>
      </c>
      <c r="S88" s="39">
        <v>679.26</v>
      </c>
      <c r="T88" s="39">
        <v>4.4400000000000004</v>
      </c>
      <c r="U88" s="39">
        <v>0.63</v>
      </c>
      <c r="V88" s="16">
        <v>0</v>
      </c>
      <c r="W88" s="16">
        <v>560.05100000000004</v>
      </c>
      <c r="X88" s="35">
        <v>36.491</v>
      </c>
    </row>
    <row r="89" spans="1:24" ht="16.5" thickBot="1" x14ac:dyDescent="0.3">
      <c r="A89" s="19" t="s">
        <v>84</v>
      </c>
      <c r="B89" s="20">
        <v>45357</v>
      </c>
      <c r="C89" s="21">
        <v>371</v>
      </c>
      <c r="D89" s="21">
        <v>1995</v>
      </c>
      <c r="E89" s="22">
        <v>838.83799999999997</v>
      </c>
      <c r="F89" s="23">
        <v>87.212999999999994</v>
      </c>
      <c r="H89" s="24" t="s">
        <v>324</v>
      </c>
      <c r="I89" s="25">
        <v>45587</v>
      </c>
      <c r="J89" s="26">
        <v>141.02099999999999</v>
      </c>
      <c r="K89" s="26">
        <v>1.2</v>
      </c>
      <c r="L89" s="26">
        <v>0.6</v>
      </c>
      <c r="M89" s="26">
        <v>0</v>
      </c>
      <c r="N89" s="26">
        <v>487.01799999999997</v>
      </c>
      <c r="O89" s="33">
        <v>60.472999999999999</v>
      </c>
      <c r="P89" s="37"/>
      <c r="Q89" s="19" t="s">
        <v>187</v>
      </c>
      <c r="R89" s="20">
        <v>45439</v>
      </c>
      <c r="S89" s="40">
        <v>679.26</v>
      </c>
      <c r="T89" s="40">
        <v>4.4400000000000004</v>
      </c>
      <c r="U89" s="40">
        <v>0.63</v>
      </c>
      <c r="V89" s="21">
        <v>500</v>
      </c>
      <c r="W89" s="21">
        <v>664.43200000000002</v>
      </c>
      <c r="X89" s="32">
        <v>71.474999999999994</v>
      </c>
    </row>
    <row r="90" spans="1:24" x14ac:dyDescent="0.25">
      <c r="A90" s="19" t="s">
        <v>84</v>
      </c>
      <c r="B90" s="20">
        <v>45357</v>
      </c>
      <c r="C90" s="21">
        <v>371</v>
      </c>
      <c r="D90" s="21">
        <v>1945</v>
      </c>
      <c r="E90" s="22">
        <v>835.73900000000003</v>
      </c>
      <c r="F90" s="23">
        <v>86.905000000000001</v>
      </c>
      <c r="H90" s="14" t="s">
        <v>31</v>
      </c>
      <c r="I90" s="15">
        <v>45581</v>
      </c>
      <c r="J90" s="16">
        <v>252.624</v>
      </c>
      <c r="K90" s="16">
        <v>1.1200000000000001</v>
      </c>
      <c r="L90" s="16">
        <v>0.05</v>
      </c>
      <c r="M90" s="16">
        <v>0</v>
      </c>
      <c r="N90" s="16">
        <v>535.30899999999997</v>
      </c>
      <c r="O90" s="35">
        <v>24.681999999999999</v>
      </c>
      <c r="P90" s="37"/>
      <c r="Q90" s="19" t="s">
        <v>187</v>
      </c>
      <c r="R90" s="20">
        <v>45439</v>
      </c>
      <c r="S90" s="40">
        <v>679.26</v>
      </c>
      <c r="T90" s="40">
        <v>4.4400000000000004</v>
      </c>
      <c r="U90" s="40">
        <v>0.63</v>
      </c>
      <c r="V90" s="21">
        <v>1000</v>
      </c>
      <c r="W90" s="21">
        <v>760.94200000000001</v>
      </c>
      <c r="X90" s="32">
        <v>78.728999999999999</v>
      </c>
    </row>
    <row r="91" spans="1:24" x14ac:dyDescent="0.25">
      <c r="A91" s="19" t="s">
        <v>84</v>
      </c>
      <c r="B91" s="20">
        <v>45357</v>
      </c>
      <c r="C91" s="21">
        <v>371</v>
      </c>
      <c r="D91" s="21">
        <v>1000</v>
      </c>
      <c r="E91" s="22">
        <v>777.48900000000003</v>
      </c>
      <c r="F91" s="23">
        <v>80.343999999999994</v>
      </c>
      <c r="H91" s="19" t="s">
        <v>31</v>
      </c>
      <c r="I91" s="20">
        <v>45581</v>
      </c>
      <c r="J91" s="21">
        <v>252.624</v>
      </c>
      <c r="K91" s="21">
        <v>1.1200000000000001</v>
      </c>
      <c r="L91" s="21">
        <v>0.05</v>
      </c>
      <c r="M91" s="21">
        <v>1000</v>
      </c>
      <c r="N91" s="21">
        <v>588.02300000000002</v>
      </c>
      <c r="O91" s="32">
        <v>58.62</v>
      </c>
      <c r="P91" s="37"/>
      <c r="Q91" s="19" t="s">
        <v>187</v>
      </c>
      <c r="R91" s="20">
        <v>45439</v>
      </c>
      <c r="S91" s="40">
        <v>679.26</v>
      </c>
      <c r="T91" s="40">
        <v>4.4400000000000004</v>
      </c>
      <c r="U91" s="40">
        <v>0.63</v>
      </c>
      <c r="V91" s="21">
        <v>1500</v>
      </c>
      <c r="W91" s="21">
        <v>846.64700000000005</v>
      </c>
      <c r="X91" s="32">
        <v>84.462999999999994</v>
      </c>
    </row>
    <row r="92" spans="1:24" ht="16.5" thickBot="1" x14ac:dyDescent="0.3">
      <c r="A92" s="24" t="s">
        <v>84</v>
      </c>
      <c r="B92" s="25">
        <v>45357</v>
      </c>
      <c r="C92" s="26">
        <v>371</v>
      </c>
      <c r="D92" s="26">
        <v>0</v>
      </c>
      <c r="E92" s="27">
        <v>718.84400000000005</v>
      </c>
      <c r="F92" s="28">
        <v>59.628</v>
      </c>
      <c r="H92" s="19" t="s">
        <v>31</v>
      </c>
      <c r="I92" s="20">
        <v>45581</v>
      </c>
      <c r="J92" s="21">
        <v>252.624</v>
      </c>
      <c r="K92" s="21">
        <v>1.1200000000000001</v>
      </c>
      <c r="L92" s="21">
        <v>0.05</v>
      </c>
      <c r="M92" s="21">
        <v>2000</v>
      </c>
      <c r="N92" s="21">
        <v>633.72699999999998</v>
      </c>
      <c r="O92" s="32">
        <v>70.484999999999999</v>
      </c>
      <c r="P92" s="37"/>
      <c r="Q92" s="19" t="s">
        <v>187</v>
      </c>
      <c r="R92" s="20">
        <v>45439</v>
      </c>
      <c r="S92" s="40">
        <v>679.26</v>
      </c>
      <c r="T92" s="40">
        <v>4.4400000000000004</v>
      </c>
      <c r="U92" s="40">
        <v>0.63</v>
      </c>
      <c r="V92" s="21">
        <v>2000</v>
      </c>
      <c r="W92" s="21">
        <v>927.97400000000005</v>
      </c>
      <c r="X92" s="32">
        <v>88.891999999999996</v>
      </c>
    </row>
    <row r="93" spans="1:24" x14ac:dyDescent="0.25">
      <c r="A93" s="14" t="s">
        <v>115</v>
      </c>
      <c r="B93" s="15">
        <v>45496</v>
      </c>
      <c r="C93" s="16">
        <v>1498</v>
      </c>
      <c r="D93" s="16">
        <v>0</v>
      </c>
      <c r="E93" s="16">
        <v>533.78499999999997</v>
      </c>
      <c r="F93" s="35">
        <v>38.052999999999997</v>
      </c>
      <c r="H93" s="19" t="s">
        <v>31</v>
      </c>
      <c r="I93" s="20">
        <v>45581</v>
      </c>
      <c r="J93" s="21">
        <v>252.624</v>
      </c>
      <c r="K93" s="21">
        <v>1.1200000000000001</v>
      </c>
      <c r="L93" s="21">
        <v>0.05</v>
      </c>
      <c r="M93" s="21">
        <v>2050</v>
      </c>
      <c r="N93" s="21">
        <v>637.58600000000001</v>
      </c>
      <c r="O93" s="32">
        <v>74.067999999999998</v>
      </c>
      <c r="P93" s="37"/>
      <c r="Q93" s="19" t="s">
        <v>187</v>
      </c>
      <c r="R93" s="20">
        <v>45439</v>
      </c>
      <c r="S93" s="40">
        <v>679.26</v>
      </c>
      <c r="T93" s="40">
        <v>4.4400000000000004</v>
      </c>
      <c r="U93" s="40">
        <v>0.63</v>
      </c>
      <c r="V93" s="21">
        <v>2070</v>
      </c>
      <c r="W93" s="21">
        <v>939.25199999999995</v>
      </c>
      <c r="X93" s="32">
        <v>89.619</v>
      </c>
    </row>
    <row r="94" spans="1:24" ht="16.5" thickBot="1" x14ac:dyDescent="0.3">
      <c r="A94" s="19" t="s">
        <v>115</v>
      </c>
      <c r="B94" s="20">
        <v>45496</v>
      </c>
      <c r="C94" s="21">
        <v>1498</v>
      </c>
      <c r="D94" s="21">
        <v>1000</v>
      </c>
      <c r="E94" s="21">
        <v>694.22900000000004</v>
      </c>
      <c r="F94" s="32">
        <v>70.188000000000002</v>
      </c>
      <c r="H94" s="19" t="s">
        <v>31</v>
      </c>
      <c r="I94" s="20">
        <v>45581</v>
      </c>
      <c r="J94" s="21">
        <v>252.624</v>
      </c>
      <c r="K94" s="21">
        <v>1.1200000000000001</v>
      </c>
      <c r="L94" s="21">
        <v>0.05</v>
      </c>
      <c r="M94" s="21">
        <v>2100</v>
      </c>
      <c r="N94" s="21">
        <v>638.51700000000005</v>
      </c>
      <c r="O94" s="32">
        <v>76.628</v>
      </c>
      <c r="P94" s="37"/>
      <c r="Q94" s="24" t="s">
        <v>187</v>
      </c>
      <c r="R94" s="25">
        <v>45439</v>
      </c>
      <c r="S94" s="41">
        <v>679.26</v>
      </c>
      <c r="T94" s="41">
        <v>4.4400000000000004</v>
      </c>
      <c r="U94" s="41">
        <v>0.63</v>
      </c>
      <c r="V94" s="26">
        <v>2120</v>
      </c>
      <c r="W94" s="26">
        <v>943.99199999999996</v>
      </c>
      <c r="X94" s="33">
        <v>89.977000000000004</v>
      </c>
    </row>
    <row r="95" spans="1:24" ht="16.5" thickBot="1" x14ac:dyDescent="0.3">
      <c r="A95" s="19" t="s">
        <v>115</v>
      </c>
      <c r="B95" s="20">
        <v>45496</v>
      </c>
      <c r="C95" s="21">
        <v>1498</v>
      </c>
      <c r="D95" s="21">
        <v>2000</v>
      </c>
      <c r="E95" s="21">
        <v>825.69100000000003</v>
      </c>
      <c r="F95" s="32">
        <v>78.463999999999999</v>
      </c>
      <c r="H95" s="24" t="s">
        <v>31</v>
      </c>
      <c r="I95" s="25">
        <v>45581</v>
      </c>
      <c r="J95" s="26">
        <v>252.624</v>
      </c>
      <c r="K95" s="26">
        <v>1.1200000000000001</v>
      </c>
      <c r="L95" s="26">
        <v>0.05</v>
      </c>
      <c r="M95" s="26">
        <v>2120</v>
      </c>
      <c r="N95" s="26">
        <v>641.97900000000004</v>
      </c>
      <c r="O95" s="33">
        <v>79.905000000000001</v>
      </c>
      <c r="P95" s="37"/>
      <c r="Q95" s="14" t="s">
        <v>227</v>
      </c>
      <c r="R95" s="15">
        <v>45475</v>
      </c>
      <c r="S95" s="39">
        <v>280.68563219999999</v>
      </c>
      <c r="T95" s="39">
        <v>6.1536000000000026</v>
      </c>
      <c r="U95" s="39">
        <v>0.45120000000000016</v>
      </c>
      <c r="V95" s="16">
        <v>0</v>
      </c>
      <c r="W95" s="16">
        <v>489</v>
      </c>
      <c r="X95" s="35">
        <v>35.64</v>
      </c>
    </row>
    <row r="96" spans="1:24" x14ac:dyDescent="0.25">
      <c r="A96" s="19" t="s">
        <v>115</v>
      </c>
      <c r="B96" s="20">
        <v>45496</v>
      </c>
      <c r="C96" s="21">
        <v>1498</v>
      </c>
      <c r="D96" s="21">
        <v>2050</v>
      </c>
      <c r="E96" s="21">
        <v>832.23699999999997</v>
      </c>
      <c r="F96" s="32">
        <v>80.918000000000006</v>
      </c>
      <c r="P96" s="38"/>
      <c r="Q96" s="19" t="s">
        <v>227</v>
      </c>
      <c r="R96" s="20">
        <v>45475</v>
      </c>
      <c r="S96" s="40">
        <v>280.68563219999999</v>
      </c>
      <c r="T96" s="40">
        <v>6.1536000000000026</v>
      </c>
      <c r="U96" s="40">
        <v>0.45120000000000016</v>
      </c>
      <c r="V96" s="21">
        <v>500</v>
      </c>
      <c r="W96" s="21">
        <v>535.46100000000001</v>
      </c>
      <c r="X96" s="32">
        <v>53.203000000000003</v>
      </c>
    </row>
    <row r="97" spans="1:24" x14ac:dyDescent="0.25">
      <c r="A97" s="19" t="s">
        <v>115</v>
      </c>
      <c r="B97" s="20">
        <v>45496</v>
      </c>
      <c r="C97" s="21">
        <v>1498</v>
      </c>
      <c r="D97" s="21">
        <v>2100</v>
      </c>
      <c r="E97" s="21">
        <v>838.86099999999999</v>
      </c>
      <c r="F97" s="32">
        <v>82.091999999999999</v>
      </c>
      <c r="P97" s="38"/>
      <c r="Q97" s="19" t="s">
        <v>227</v>
      </c>
      <c r="R97" s="20">
        <v>45475</v>
      </c>
      <c r="S97" s="40">
        <v>280.68563219999999</v>
      </c>
      <c r="T97" s="40">
        <v>6.1536000000000026</v>
      </c>
      <c r="U97" s="40">
        <v>0.45120000000000016</v>
      </c>
      <c r="V97" s="21">
        <v>1000</v>
      </c>
      <c r="W97" s="21">
        <v>579.322</v>
      </c>
      <c r="X97" s="32">
        <v>64.936999999999998</v>
      </c>
    </row>
    <row r="98" spans="1:24" ht="16.5" thickBot="1" x14ac:dyDescent="0.3">
      <c r="A98" s="24" t="s">
        <v>115</v>
      </c>
      <c r="B98" s="25">
        <v>45496</v>
      </c>
      <c r="C98" s="26">
        <v>1498</v>
      </c>
      <c r="D98" s="26">
        <v>2160</v>
      </c>
      <c r="E98" s="26">
        <v>845.13099999999997</v>
      </c>
      <c r="F98" s="33">
        <v>83.436000000000007</v>
      </c>
      <c r="P98" s="38"/>
      <c r="Q98" s="19" t="s">
        <v>227</v>
      </c>
      <c r="R98" s="20">
        <v>45475</v>
      </c>
      <c r="S98" s="40">
        <v>280.68563219999999</v>
      </c>
      <c r="T98" s="40">
        <v>6.1536000000000026</v>
      </c>
      <c r="U98" s="40">
        <v>0.45120000000000016</v>
      </c>
      <c r="V98" s="21">
        <v>1500</v>
      </c>
      <c r="W98" s="21">
        <v>617.45799999999997</v>
      </c>
      <c r="X98" s="32">
        <v>73.468000000000004</v>
      </c>
    </row>
    <row r="99" spans="1:24" x14ac:dyDescent="0.25">
      <c r="P99" s="38"/>
      <c r="Q99" s="19" t="s">
        <v>227</v>
      </c>
      <c r="R99" s="20">
        <v>45475</v>
      </c>
      <c r="S99" s="40">
        <v>280.68563219999999</v>
      </c>
      <c r="T99" s="40">
        <v>6.1536000000000026</v>
      </c>
      <c r="U99" s="40">
        <v>0.45120000000000016</v>
      </c>
      <c r="V99" s="21">
        <v>2070</v>
      </c>
      <c r="W99" s="21">
        <v>659.428</v>
      </c>
      <c r="X99" s="32">
        <v>79.298000000000002</v>
      </c>
    </row>
    <row r="100" spans="1:24" x14ac:dyDescent="0.25">
      <c r="P100" s="38"/>
      <c r="Q100" s="19" t="s">
        <v>227</v>
      </c>
      <c r="R100" s="20">
        <v>45475</v>
      </c>
      <c r="S100" s="40">
        <v>280.68563219999999</v>
      </c>
      <c r="T100" s="40">
        <v>6.1536000000000026</v>
      </c>
      <c r="U100" s="40">
        <v>0.45120000000000016</v>
      </c>
      <c r="V100" s="21">
        <v>2120</v>
      </c>
      <c r="W100" s="21">
        <v>662.88800000000003</v>
      </c>
      <c r="X100" s="32">
        <v>81.656999999999996</v>
      </c>
    </row>
    <row r="101" spans="1:24" ht="16.5" thickBot="1" x14ac:dyDescent="0.3">
      <c r="P101" s="38"/>
      <c r="Q101" s="24" t="s">
        <v>227</v>
      </c>
      <c r="R101" s="25">
        <v>45475</v>
      </c>
      <c r="S101" s="41">
        <v>280.68563219999999</v>
      </c>
      <c r="T101" s="41">
        <v>6.1536000000000026</v>
      </c>
      <c r="U101" s="41">
        <v>0.45120000000000016</v>
      </c>
      <c r="V101" s="26">
        <v>2170</v>
      </c>
      <c r="W101" s="26">
        <v>667.85599999999999</v>
      </c>
      <c r="X101" s="33">
        <v>84.206999999999994</v>
      </c>
    </row>
    <row r="102" spans="1:24" x14ac:dyDescent="0.25">
      <c r="P102" s="38"/>
      <c r="Q102" s="14" t="s">
        <v>164</v>
      </c>
      <c r="R102" s="15">
        <v>45458</v>
      </c>
      <c r="S102" s="39">
        <v>703.02964759999998</v>
      </c>
      <c r="T102" s="39">
        <v>2.8319999999999994</v>
      </c>
      <c r="U102" s="39">
        <v>0.61439999999999984</v>
      </c>
      <c r="V102" s="16">
        <v>0</v>
      </c>
      <c r="W102" s="16">
        <v>575.04100000000005</v>
      </c>
      <c r="X102" s="35">
        <v>33.982999999999997</v>
      </c>
    </row>
    <row r="103" spans="1:24" x14ac:dyDescent="0.25">
      <c r="P103" s="38"/>
      <c r="Q103" s="19" t="s">
        <v>164</v>
      </c>
      <c r="R103" s="20">
        <v>45458</v>
      </c>
      <c r="S103" s="40">
        <v>703.02964759999998</v>
      </c>
      <c r="T103" s="40">
        <v>2.8319999999999994</v>
      </c>
      <c r="U103" s="40">
        <v>0.61439999999999984</v>
      </c>
      <c r="V103" s="21">
        <v>500</v>
      </c>
      <c r="W103" s="21">
        <v>612.80499999999995</v>
      </c>
      <c r="X103" s="32">
        <v>71.519000000000005</v>
      </c>
    </row>
    <row r="104" spans="1:24" x14ac:dyDescent="0.25">
      <c r="P104" s="38"/>
      <c r="Q104" s="19" t="s">
        <v>164</v>
      </c>
      <c r="R104" s="20">
        <v>45458</v>
      </c>
      <c r="S104" s="40">
        <v>703.02964759999998</v>
      </c>
      <c r="T104" s="40">
        <v>2.8319999999999994</v>
      </c>
      <c r="U104" s="40">
        <v>0.61439999999999984</v>
      </c>
      <c r="V104" s="21">
        <v>1000</v>
      </c>
      <c r="W104" s="21">
        <v>650.23800000000006</v>
      </c>
      <c r="X104" s="32">
        <v>77.763999999999996</v>
      </c>
    </row>
    <row r="105" spans="1:24" x14ac:dyDescent="0.25">
      <c r="P105" s="38"/>
      <c r="Q105" s="19" t="s">
        <v>164</v>
      </c>
      <c r="R105" s="20">
        <v>45458</v>
      </c>
      <c r="S105" s="40">
        <v>703.02964759999998</v>
      </c>
      <c r="T105" s="40">
        <v>2.8319999999999994</v>
      </c>
      <c r="U105" s="40">
        <v>0.61439999999999984</v>
      </c>
      <c r="V105" s="21">
        <v>1500</v>
      </c>
      <c r="W105" s="21">
        <v>686.55700000000002</v>
      </c>
      <c r="X105" s="32">
        <v>82.343999999999994</v>
      </c>
    </row>
    <row r="106" spans="1:24" x14ac:dyDescent="0.25">
      <c r="Q106" s="19" t="s">
        <v>164</v>
      </c>
      <c r="R106" s="20">
        <v>45458</v>
      </c>
      <c r="S106" s="40">
        <v>703.02964759999998</v>
      </c>
      <c r="T106" s="40">
        <v>2.8319999999999994</v>
      </c>
      <c r="U106" s="40">
        <v>0.61439999999999984</v>
      </c>
      <c r="V106" s="21">
        <v>1980</v>
      </c>
      <c r="W106" s="21">
        <v>721.279</v>
      </c>
      <c r="X106" s="32">
        <v>85.415000000000006</v>
      </c>
    </row>
    <row r="107" spans="1:24" ht="16.5" thickBot="1" x14ac:dyDescent="0.3">
      <c r="Q107" s="24" t="s">
        <v>164</v>
      </c>
      <c r="R107" s="25">
        <v>45458</v>
      </c>
      <c r="S107" s="41">
        <v>703.02964759999998</v>
      </c>
      <c r="T107" s="41">
        <v>2.8319999999999994</v>
      </c>
      <c r="U107" s="41">
        <v>0.61439999999999984</v>
      </c>
      <c r="V107" s="26">
        <v>2030</v>
      </c>
      <c r="W107" s="26">
        <v>726.41</v>
      </c>
      <c r="X107" s="33">
        <v>85.903000000000006</v>
      </c>
    </row>
    <row r="108" spans="1:24" x14ac:dyDescent="0.25">
      <c r="Q108" s="14" t="s">
        <v>258</v>
      </c>
      <c r="R108" s="15">
        <v>45344</v>
      </c>
      <c r="S108" s="39">
        <v>740.279</v>
      </c>
      <c r="T108" s="39">
        <v>4.34</v>
      </c>
      <c r="U108" s="39">
        <v>0.72</v>
      </c>
      <c r="V108" s="16">
        <v>0</v>
      </c>
      <c r="W108" s="39">
        <v>593.46</v>
      </c>
      <c r="X108" s="18">
        <v>21</v>
      </c>
    </row>
    <row r="109" spans="1:24" x14ac:dyDescent="0.25">
      <c r="Q109" s="19" t="s">
        <v>258</v>
      </c>
      <c r="R109" s="20">
        <v>45344</v>
      </c>
      <c r="S109" s="40">
        <v>740.279</v>
      </c>
      <c r="T109" s="40">
        <v>4.34</v>
      </c>
      <c r="U109" s="40">
        <v>0.72</v>
      </c>
      <c r="V109" s="21">
        <v>1000</v>
      </c>
      <c r="W109" s="40">
        <v>673.39</v>
      </c>
      <c r="X109" s="23">
        <v>76.3</v>
      </c>
    </row>
    <row r="110" spans="1:24" x14ac:dyDescent="0.25">
      <c r="Q110" s="19" t="s">
        <v>258</v>
      </c>
      <c r="R110" s="20">
        <v>45344</v>
      </c>
      <c r="S110" s="40">
        <v>740.279</v>
      </c>
      <c r="T110" s="40">
        <v>4.34</v>
      </c>
      <c r="U110" s="40">
        <v>0.72</v>
      </c>
      <c r="V110" s="21">
        <v>2040</v>
      </c>
      <c r="W110" s="40">
        <v>757.74</v>
      </c>
      <c r="X110" s="23">
        <v>85.7</v>
      </c>
    </row>
    <row r="111" spans="1:24" x14ac:dyDescent="0.25">
      <c r="Q111" s="19" t="s">
        <v>258</v>
      </c>
      <c r="R111" s="20">
        <v>45344</v>
      </c>
      <c r="S111" s="40">
        <v>740.279</v>
      </c>
      <c r="T111" s="40">
        <v>4.34</v>
      </c>
      <c r="U111" s="40">
        <v>0.72</v>
      </c>
      <c r="V111" s="21">
        <v>2090</v>
      </c>
      <c r="W111" s="40">
        <v>761.83</v>
      </c>
      <c r="X111" s="23">
        <v>86.4</v>
      </c>
    </row>
    <row r="112" spans="1:24" ht="16.5" thickBot="1" x14ac:dyDescent="0.3">
      <c r="Q112" s="24" t="s">
        <v>258</v>
      </c>
      <c r="R112" s="25">
        <v>45344</v>
      </c>
      <c r="S112" s="41">
        <v>740.279</v>
      </c>
      <c r="T112" s="41">
        <v>4.34</v>
      </c>
      <c r="U112" s="41">
        <v>0.72</v>
      </c>
      <c r="V112" s="26">
        <v>2140</v>
      </c>
      <c r="W112" s="41">
        <v>767.59</v>
      </c>
      <c r="X112" s="28">
        <v>86.9</v>
      </c>
    </row>
    <row r="113" spans="17:24" x14ac:dyDescent="0.25">
      <c r="Q113" s="14" t="s">
        <v>172</v>
      </c>
      <c r="R113" s="15">
        <v>45401</v>
      </c>
      <c r="S113" s="39">
        <v>828.05795324999997</v>
      </c>
      <c r="T113" s="39">
        <v>8.1600000000000019</v>
      </c>
      <c r="U113" s="39">
        <v>0.84000000000000019</v>
      </c>
      <c r="V113" s="16">
        <v>0</v>
      </c>
      <c r="W113" s="16">
        <v>604.29700000000003</v>
      </c>
      <c r="X113" s="35">
        <v>25.765000000000001</v>
      </c>
    </row>
    <row r="114" spans="17:24" x14ac:dyDescent="0.25">
      <c r="Q114" s="19" t="s">
        <v>172</v>
      </c>
      <c r="R114" s="20">
        <v>45401</v>
      </c>
      <c r="S114" s="40">
        <v>828.05795324999997</v>
      </c>
      <c r="T114" s="40">
        <v>8.1600000000000019</v>
      </c>
      <c r="U114" s="40">
        <v>0.84000000000000019</v>
      </c>
      <c r="V114" s="21">
        <v>500</v>
      </c>
      <c r="W114" s="21">
        <v>648.75400000000002</v>
      </c>
      <c r="X114" s="32">
        <v>70.097999999999999</v>
      </c>
    </row>
    <row r="115" spans="17:24" x14ac:dyDescent="0.25">
      <c r="Q115" s="19" t="s">
        <v>172</v>
      </c>
      <c r="R115" s="20">
        <v>45401</v>
      </c>
      <c r="S115" s="40">
        <v>828.05795324999997</v>
      </c>
      <c r="T115" s="40">
        <v>8.1600000000000019</v>
      </c>
      <c r="U115" s="40">
        <v>0.84000000000000019</v>
      </c>
      <c r="V115" s="21">
        <v>1000</v>
      </c>
      <c r="W115" s="21">
        <v>694.92399999999998</v>
      </c>
      <c r="X115" s="32">
        <v>78.992000000000004</v>
      </c>
    </row>
    <row r="116" spans="17:24" x14ac:dyDescent="0.25">
      <c r="Q116" s="19" t="s">
        <v>172</v>
      </c>
      <c r="R116" s="20">
        <v>45401</v>
      </c>
      <c r="S116" s="40">
        <v>828.05795324999997</v>
      </c>
      <c r="T116" s="40">
        <v>8.1600000000000019</v>
      </c>
      <c r="U116" s="40">
        <v>0.84000000000000019</v>
      </c>
      <c r="V116" s="21">
        <v>1500</v>
      </c>
      <c r="W116" s="21">
        <v>738.51700000000005</v>
      </c>
      <c r="X116" s="32">
        <v>83.858999999999995</v>
      </c>
    </row>
    <row r="117" spans="17:24" x14ac:dyDescent="0.25">
      <c r="Q117" s="19" t="s">
        <v>172</v>
      </c>
      <c r="R117" s="20">
        <v>45401</v>
      </c>
      <c r="S117" s="40">
        <v>828.05795324999997</v>
      </c>
      <c r="T117" s="40">
        <v>8.1600000000000019</v>
      </c>
      <c r="U117" s="40">
        <v>0.84000000000000019</v>
      </c>
      <c r="V117" s="21">
        <v>2035</v>
      </c>
      <c r="W117" s="21">
        <v>783.25300000000004</v>
      </c>
      <c r="X117" s="32">
        <v>87.563000000000002</v>
      </c>
    </row>
    <row r="118" spans="17:24" x14ac:dyDescent="0.25">
      <c r="Q118" s="19" t="s">
        <v>172</v>
      </c>
      <c r="R118" s="20">
        <v>45401</v>
      </c>
      <c r="S118" s="40">
        <v>828.05795324999997</v>
      </c>
      <c r="T118" s="40">
        <v>8.1600000000000019</v>
      </c>
      <c r="U118" s="40">
        <v>0.84000000000000019</v>
      </c>
      <c r="V118" s="21">
        <v>2085</v>
      </c>
      <c r="W118" s="21">
        <v>788.45899999999995</v>
      </c>
      <c r="X118" s="32">
        <v>88.018000000000001</v>
      </c>
    </row>
    <row r="119" spans="17:24" ht="16.5" thickBot="1" x14ac:dyDescent="0.3">
      <c r="Q119" s="24" t="s">
        <v>172</v>
      </c>
      <c r="R119" s="25">
        <v>45401</v>
      </c>
      <c r="S119" s="41">
        <v>828.05795324999997</v>
      </c>
      <c r="T119" s="41">
        <v>8.1600000000000019</v>
      </c>
      <c r="U119" s="41">
        <v>0.84000000000000019</v>
      </c>
      <c r="V119" s="26">
        <v>2135</v>
      </c>
      <c r="W119" s="26">
        <v>790.81600000000003</v>
      </c>
      <c r="X119" s="33">
        <v>88.475999999999999</v>
      </c>
    </row>
    <row r="120" spans="17:24" x14ac:dyDescent="0.25">
      <c r="Q120" s="14" t="s">
        <v>148</v>
      </c>
      <c r="R120" s="15">
        <v>45351</v>
      </c>
      <c r="S120" s="39">
        <v>345.447</v>
      </c>
      <c r="T120" s="39">
        <v>6.29</v>
      </c>
      <c r="U120" s="39">
        <v>0.48</v>
      </c>
      <c r="V120" s="16">
        <v>0</v>
      </c>
      <c r="W120" s="16">
        <v>560.17999999999995</v>
      </c>
      <c r="X120" s="35">
        <v>22.295999999999999</v>
      </c>
    </row>
    <row r="121" spans="17:24" x14ac:dyDescent="0.25">
      <c r="Q121" s="19" t="s">
        <v>148</v>
      </c>
      <c r="R121" s="20">
        <v>45351</v>
      </c>
      <c r="S121" s="40">
        <v>345.447</v>
      </c>
      <c r="T121" s="40">
        <v>6.29</v>
      </c>
      <c r="U121" s="40">
        <v>0.48</v>
      </c>
      <c r="V121" s="21">
        <v>1000</v>
      </c>
      <c r="W121" s="21">
        <v>617.51900000000001</v>
      </c>
      <c r="X121" s="32">
        <v>77.628</v>
      </c>
    </row>
    <row r="122" spans="17:24" x14ac:dyDescent="0.25">
      <c r="Q122" s="19" t="s">
        <v>148</v>
      </c>
      <c r="R122" s="20">
        <v>45351</v>
      </c>
      <c r="S122" s="40">
        <v>345.447</v>
      </c>
      <c r="T122" s="40">
        <v>6.29</v>
      </c>
      <c r="U122" s="40">
        <v>0.48</v>
      </c>
      <c r="V122" s="21">
        <v>1935</v>
      </c>
      <c r="W122" s="21">
        <v>669.66399999999999</v>
      </c>
      <c r="X122" s="32">
        <v>85.352000000000004</v>
      </c>
    </row>
    <row r="123" spans="17:24" x14ac:dyDescent="0.25">
      <c r="Q123" s="19" t="s">
        <v>148</v>
      </c>
      <c r="R123" s="20">
        <v>45351</v>
      </c>
      <c r="S123" s="40">
        <v>345.447</v>
      </c>
      <c r="T123" s="40">
        <v>6.29</v>
      </c>
      <c r="U123" s="40">
        <v>0.48</v>
      </c>
      <c r="V123" s="21">
        <v>1985</v>
      </c>
      <c r="W123" s="21">
        <v>672.69299999999998</v>
      </c>
      <c r="X123" s="32">
        <v>85.674000000000007</v>
      </c>
    </row>
    <row r="124" spans="17:24" x14ac:dyDescent="0.25">
      <c r="Q124" s="19" t="s">
        <v>148</v>
      </c>
      <c r="R124" s="20">
        <v>45351</v>
      </c>
      <c r="S124" s="40">
        <v>345.447</v>
      </c>
      <c r="T124" s="40">
        <v>6.29</v>
      </c>
      <c r="U124" s="40">
        <v>0.48</v>
      </c>
      <c r="V124" s="21">
        <v>2035</v>
      </c>
      <c r="W124" s="21">
        <v>677.75400000000002</v>
      </c>
      <c r="X124" s="32">
        <v>86.057000000000002</v>
      </c>
    </row>
    <row r="125" spans="17:24" x14ac:dyDescent="0.25">
      <c r="Q125" s="19" t="s">
        <v>148</v>
      </c>
      <c r="R125" s="20">
        <v>45351</v>
      </c>
      <c r="S125" s="40">
        <v>281.75299999999999</v>
      </c>
      <c r="T125" s="40">
        <v>4.7699999999999996</v>
      </c>
      <c r="U125" s="40">
        <v>0.4</v>
      </c>
      <c r="V125" s="21">
        <v>2035</v>
      </c>
      <c r="W125" s="21">
        <v>751.37099999999998</v>
      </c>
      <c r="X125" s="32">
        <v>87.35</v>
      </c>
    </row>
    <row r="126" spans="17:24" x14ac:dyDescent="0.25">
      <c r="Q126" s="19" t="s">
        <v>148</v>
      </c>
      <c r="R126" s="20">
        <v>45351</v>
      </c>
      <c r="S126" s="40">
        <v>281.75299999999999</v>
      </c>
      <c r="T126" s="40">
        <v>4.7699999999999996</v>
      </c>
      <c r="U126" s="40">
        <v>0.4</v>
      </c>
      <c r="V126" s="21">
        <v>1985</v>
      </c>
      <c r="W126" s="21">
        <v>748.63800000000003</v>
      </c>
      <c r="X126" s="32">
        <v>87.069000000000003</v>
      </c>
    </row>
    <row r="127" spans="17:24" x14ac:dyDescent="0.25">
      <c r="Q127" s="19" t="s">
        <v>148</v>
      </c>
      <c r="R127" s="20">
        <v>45351</v>
      </c>
      <c r="S127" s="40">
        <v>281.75299999999999</v>
      </c>
      <c r="T127" s="40">
        <v>4.7699999999999996</v>
      </c>
      <c r="U127" s="40">
        <v>0.4</v>
      </c>
      <c r="V127" s="21">
        <v>1935</v>
      </c>
      <c r="W127" s="21">
        <v>745.57100000000003</v>
      </c>
      <c r="X127" s="32">
        <v>86.807000000000002</v>
      </c>
    </row>
    <row r="128" spans="17:24" x14ac:dyDescent="0.25">
      <c r="Q128" s="19" t="s">
        <v>148</v>
      </c>
      <c r="R128" s="20">
        <v>45351</v>
      </c>
      <c r="S128" s="40">
        <v>281.75299999999999</v>
      </c>
      <c r="T128" s="40">
        <v>4.7699999999999996</v>
      </c>
      <c r="U128" s="40">
        <v>0.4</v>
      </c>
      <c r="V128" s="21">
        <v>1000</v>
      </c>
      <c r="W128" s="21">
        <v>712.22199999999998</v>
      </c>
      <c r="X128" s="32">
        <v>82.569000000000003</v>
      </c>
    </row>
    <row r="129" spans="17:24" x14ac:dyDescent="0.25">
      <c r="Q129" s="19" t="s">
        <v>148</v>
      </c>
      <c r="R129" s="20">
        <v>45351</v>
      </c>
      <c r="S129" s="40">
        <v>281.75299999999999</v>
      </c>
      <c r="T129" s="40">
        <v>4.7699999999999996</v>
      </c>
      <c r="U129" s="40">
        <v>0.4</v>
      </c>
      <c r="V129" s="21">
        <v>0</v>
      </c>
      <c r="W129" s="21">
        <v>693.09500000000003</v>
      </c>
      <c r="X129" s="32">
        <v>78.697999999999993</v>
      </c>
    </row>
    <row r="130" spans="17:24" x14ac:dyDescent="0.25">
      <c r="Q130" s="19" t="s">
        <v>148</v>
      </c>
      <c r="R130" s="20">
        <v>45351</v>
      </c>
      <c r="S130" s="40">
        <v>199.74799999999999</v>
      </c>
      <c r="T130" s="40">
        <v>2.6</v>
      </c>
      <c r="U130" s="40">
        <v>0.08</v>
      </c>
      <c r="V130" s="21">
        <v>0</v>
      </c>
      <c r="W130" s="21">
        <v>702.15099999999995</v>
      </c>
      <c r="X130" s="32">
        <v>14.978999999999999</v>
      </c>
    </row>
    <row r="131" spans="17:24" x14ac:dyDescent="0.25">
      <c r="Q131" s="19" t="s">
        <v>148</v>
      </c>
      <c r="R131" s="20">
        <v>45351</v>
      </c>
      <c r="S131" s="40">
        <v>199.74799999999999</v>
      </c>
      <c r="T131" s="40">
        <v>2.6</v>
      </c>
      <c r="U131" s="40">
        <v>0.08</v>
      </c>
      <c r="V131" s="21">
        <v>1000</v>
      </c>
      <c r="W131" s="21">
        <v>759.10699999999997</v>
      </c>
      <c r="X131" s="32">
        <v>69.5</v>
      </c>
    </row>
    <row r="132" spans="17:24" x14ac:dyDescent="0.25">
      <c r="Q132" s="19" t="s">
        <v>148</v>
      </c>
      <c r="R132" s="20">
        <v>45351</v>
      </c>
      <c r="S132" s="40">
        <v>199.74799999999999</v>
      </c>
      <c r="T132" s="40">
        <v>2.6</v>
      </c>
      <c r="U132" s="40">
        <v>0.08</v>
      </c>
      <c r="V132" s="21">
        <v>1935</v>
      </c>
      <c r="W132" s="21">
        <v>816.93499999999995</v>
      </c>
      <c r="X132" s="32">
        <v>84.141000000000005</v>
      </c>
    </row>
    <row r="133" spans="17:24" x14ac:dyDescent="0.25">
      <c r="Q133" s="19" t="s">
        <v>148</v>
      </c>
      <c r="R133" s="20">
        <v>45351</v>
      </c>
      <c r="S133" s="40">
        <v>199.74799999999999</v>
      </c>
      <c r="T133" s="40">
        <v>2.6</v>
      </c>
      <c r="U133" s="40">
        <v>0.08</v>
      </c>
      <c r="V133" s="21">
        <v>1985</v>
      </c>
      <c r="W133" s="21">
        <v>820.346</v>
      </c>
      <c r="X133" s="32">
        <v>86.388000000000005</v>
      </c>
    </row>
    <row r="134" spans="17:24" ht="16.5" thickBot="1" x14ac:dyDescent="0.3">
      <c r="Q134" s="24" t="s">
        <v>148</v>
      </c>
      <c r="R134" s="25">
        <v>45351</v>
      </c>
      <c r="S134" s="41">
        <v>199.74799999999999</v>
      </c>
      <c r="T134" s="41">
        <v>2.6</v>
      </c>
      <c r="U134" s="41">
        <v>0.08</v>
      </c>
      <c r="V134" s="26">
        <v>2035</v>
      </c>
      <c r="W134" s="26">
        <v>825.68299999999999</v>
      </c>
      <c r="X134" s="33">
        <v>88.405000000000001</v>
      </c>
    </row>
    <row r="135" spans="17:24" x14ac:dyDescent="0.25">
      <c r="Q135" s="14" t="s">
        <v>142</v>
      </c>
      <c r="R135" s="15">
        <v>45352</v>
      </c>
      <c r="S135" s="39">
        <v>793.23199999999997</v>
      </c>
      <c r="T135" s="39">
        <v>9.1199999999999992</v>
      </c>
      <c r="U135" s="39">
        <v>0.62</v>
      </c>
      <c r="V135" s="16">
        <v>0</v>
      </c>
      <c r="W135" s="16">
        <v>616.80899999999997</v>
      </c>
      <c r="X135" s="35">
        <v>17.541</v>
      </c>
    </row>
    <row r="136" spans="17:24" x14ac:dyDescent="0.25">
      <c r="Q136" s="19" t="s">
        <v>142</v>
      </c>
      <c r="R136" s="20">
        <v>45352</v>
      </c>
      <c r="S136" s="40">
        <v>793.23199999999997</v>
      </c>
      <c r="T136" s="40">
        <v>9.1199999999999992</v>
      </c>
      <c r="U136" s="40">
        <v>0.62</v>
      </c>
      <c r="V136" s="21">
        <v>1000</v>
      </c>
      <c r="W136" s="21">
        <v>696.55600000000004</v>
      </c>
      <c r="X136" s="32">
        <v>59.981000000000002</v>
      </c>
    </row>
    <row r="137" spans="17:24" x14ac:dyDescent="0.25">
      <c r="Q137" s="19" t="s">
        <v>142</v>
      </c>
      <c r="R137" s="20">
        <v>45352</v>
      </c>
      <c r="S137" s="40">
        <v>793.23199999999997</v>
      </c>
      <c r="T137" s="40">
        <v>9.1199999999999992</v>
      </c>
      <c r="U137" s="40">
        <v>0.62</v>
      </c>
      <c r="V137" s="21">
        <v>2045</v>
      </c>
      <c r="W137" s="21">
        <v>784.173</v>
      </c>
      <c r="X137" s="32">
        <v>80.581000000000003</v>
      </c>
    </row>
    <row r="138" spans="17:24" x14ac:dyDescent="0.25">
      <c r="Q138" s="19" t="s">
        <v>142</v>
      </c>
      <c r="R138" s="20">
        <v>45352</v>
      </c>
      <c r="S138" s="40">
        <v>793.23199999999997</v>
      </c>
      <c r="T138" s="40">
        <v>9.1199999999999992</v>
      </c>
      <c r="U138" s="40">
        <v>0.62</v>
      </c>
      <c r="V138" s="21">
        <v>2095</v>
      </c>
      <c r="W138" s="21">
        <v>790.42</v>
      </c>
      <c r="X138" s="32">
        <v>85.097999999999999</v>
      </c>
    </row>
    <row r="139" spans="17:24" x14ac:dyDescent="0.25">
      <c r="Q139" s="19" t="s">
        <v>142</v>
      </c>
      <c r="R139" s="20">
        <v>45352</v>
      </c>
      <c r="S139" s="40">
        <v>793.23199999999997</v>
      </c>
      <c r="T139" s="40">
        <v>9.1199999999999992</v>
      </c>
      <c r="U139" s="40">
        <v>0.62</v>
      </c>
      <c r="V139" s="21">
        <v>2145</v>
      </c>
      <c r="W139" s="21">
        <v>796.86500000000001</v>
      </c>
      <c r="X139" s="32">
        <v>89.206000000000003</v>
      </c>
    </row>
    <row r="140" spans="17:24" x14ac:dyDescent="0.25">
      <c r="Q140" s="19" t="s">
        <v>142</v>
      </c>
      <c r="R140" s="20">
        <v>45352</v>
      </c>
      <c r="S140" s="40">
        <v>449.55700000000002</v>
      </c>
      <c r="T140" s="40">
        <v>5.52</v>
      </c>
      <c r="U140" s="40">
        <v>0.36</v>
      </c>
      <c r="V140" s="21">
        <v>2145</v>
      </c>
      <c r="W140" s="21">
        <v>893.51900000000001</v>
      </c>
      <c r="X140" s="32">
        <v>90.915000000000006</v>
      </c>
    </row>
    <row r="141" spans="17:24" x14ac:dyDescent="0.25">
      <c r="Q141" s="19" t="s">
        <v>142</v>
      </c>
      <c r="R141" s="20">
        <v>45352</v>
      </c>
      <c r="S141" s="40">
        <v>449.55700000000002</v>
      </c>
      <c r="T141" s="40">
        <v>5.52</v>
      </c>
      <c r="U141" s="40">
        <v>0.36</v>
      </c>
      <c r="V141" s="21">
        <v>2095</v>
      </c>
      <c r="W141" s="21">
        <v>889.75900000000001</v>
      </c>
      <c r="X141" s="32">
        <v>90.823999999999998</v>
      </c>
    </row>
    <row r="142" spans="17:24" x14ac:dyDescent="0.25">
      <c r="Q142" s="19" t="s">
        <v>142</v>
      </c>
      <c r="R142" s="20">
        <v>45352</v>
      </c>
      <c r="S142" s="40">
        <v>449.55700000000002</v>
      </c>
      <c r="T142" s="40">
        <v>5.52</v>
      </c>
      <c r="U142" s="40">
        <v>0.36</v>
      </c>
      <c r="V142" s="21">
        <v>2045</v>
      </c>
      <c r="W142" s="21">
        <v>886.54100000000005</v>
      </c>
      <c r="X142" s="32">
        <v>90.632999999999996</v>
      </c>
    </row>
    <row r="143" spans="17:24" x14ac:dyDescent="0.25">
      <c r="Q143" s="19" t="s">
        <v>142</v>
      </c>
      <c r="R143" s="20">
        <v>45352</v>
      </c>
      <c r="S143" s="40">
        <v>449.55700000000002</v>
      </c>
      <c r="T143" s="40">
        <v>5.52</v>
      </c>
      <c r="U143" s="40">
        <v>0.36</v>
      </c>
      <c r="V143" s="21">
        <v>1000</v>
      </c>
      <c r="W143" s="21">
        <v>816.4</v>
      </c>
      <c r="X143" s="32">
        <v>86.323999999999998</v>
      </c>
    </row>
    <row r="144" spans="17:24" ht="16.5" thickBot="1" x14ac:dyDescent="0.3">
      <c r="Q144" s="24" t="s">
        <v>142</v>
      </c>
      <c r="R144" s="25">
        <v>45352</v>
      </c>
      <c r="S144" s="41">
        <v>449.55700000000002</v>
      </c>
      <c r="T144" s="41">
        <v>5.52</v>
      </c>
      <c r="U144" s="41">
        <v>0.36</v>
      </c>
      <c r="V144" s="26">
        <v>0</v>
      </c>
      <c r="W144" s="26">
        <v>751.54600000000005</v>
      </c>
      <c r="X144" s="33">
        <v>76.463999999999999</v>
      </c>
    </row>
    <row r="145" spans="17:24" x14ac:dyDescent="0.25">
      <c r="Q145" s="14" t="s">
        <v>186</v>
      </c>
      <c r="R145" s="15">
        <v>45384</v>
      </c>
      <c r="S145" s="39">
        <v>921.97500000000002</v>
      </c>
      <c r="T145" s="39">
        <v>10.199999999999999</v>
      </c>
      <c r="U145" s="39">
        <v>1.02</v>
      </c>
      <c r="V145" s="16">
        <v>0</v>
      </c>
      <c r="W145" s="16">
        <v>647.65</v>
      </c>
      <c r="X145" s="35">
        <v>28.1</v>
      </c>
    </row>
    <row r="146" spans="17:24" x14ac:dyDescent="0.25">
      <c r="Q146" s="19" t="s">
        <v>186</v>
      </c>
      <c r="R146" s="20">
        <v>45384</v>
      </c>
      <c r="S146" s="40">
        <v>921.97500000000002</v>
      </c>
      <c r="T146" s="40">
        <v>10.199999999999999</v>
      </c>
      <c r="U146" s="40">
        <v>1.02</v>
      </c>
      <c r="V146" s="21">
        <v>500</v>
      </c>
      <c r="W146" s="21">
        <v>697.8</v>
      </c>
      <c r="X146" s="32">
        <v>74.3</v>
      </c>
    </row>
    <row r="147" spans="17:24" x14ac:dyDescent="0.25">
      <c r="Q147" s="19" t="s">
        <v>186</v>
      </c>
      <c r="R147" s="20">
        <v>45384</v>
      </c>
      <c r="S147" s="40">
        <v>921.97500000000002</v>
      </c>
      <c r="T147" s="40">
        <v>10.199999999999999</v>
      </c>
      <c r="U147" s="40">
        <v>1.02</v>
      </c>
      <c r="V147" s="21">
        <v>1000</v>
      </c>
      <c r="W147" s="21">
        <v>743.95</v>
      </c>
      <c r="X147" s="32">
        <v>80.5</v>
      </c>
    </row>
    <row r="148" spans="17:24" x14ac:dyDescent="0.25">
      <c r="Q148" s="19" t="s">
        <v>186</v>
      </c>
      <c r="R148" s="20">
        <v>45384</v>
      </c>
      <c r="S148" s="40">
        <v>921.97500000000002</v>
      </c>
      <c r="T148" s="40">
        <v>10.199999999999999</v>
      </c>
      <c r="U148" s="40">
        <v>1.02</v>
      </c>
      <c r="V148" s="21">
        <v>1500</v>
      </c>
      <c r="W148" s="21">
        <v>790.57</v>
      </c>
      <c r="X148" s="32">
        <v>85.3</v>
      </c>
    </row>
    <row r="149" spans="17:24" x14ac:dyDescent="0.25">
      <c r="Q149" s="19" t="s">
        <v>186</v>
      </c>
      <c r="R149" s="20">
        <v>45384</v>
      </c>
      <c r="S149" s="40">
        <v>921.97500000000002</v>
      </c>
      <c r="T149" s="40">
        <v>10.199999999999999</v>
      </c>
      <c r="U149" s="40">
        <v>1.02</v>
      </c>
      <c r="V149" s="21">
        <v>2000</v>
      </c>
      <c r="W149" s="21">
        <v>836.5</v>
      </c>
      <c r="X149" s="32">
        <v>88.9</v>
      </c>
    </row>
    <row r="150" spans="17:24" ht="16.5" thickBot="1" x14ac:dyDescent="0.3">
      <c r="Q150" s="24" t="s">
        <v>186</v>
      </c>
      <c r="R150" s="25">
        <v>45384</v>
      </c>
      <c r="S150" s="41">
        <v>921.97500000000002</v>
      </c>
      <c r="T150" s="41">
        <v>10.199999999999999</v>
      </c>
      <c r="U150" s="41">
        <v>1.02</v>
      </c>
      <c r="V150" s="26">
        <v>2160</v>
      </c>
      <c r="W150" s="26">
        <v>851.88</v>
      </c>
      <c r="X150" s="33">
        <v>90</v>
      </c>
    </row>
    <row r="151" spans="17:24" x14ac:dyDescent="0.25">
      <c r="Q151" s="14" t="s">
        <v>189</v>
      </c>
      <c r="R151" s="15">
        <v>45432</v>
      </c>
      <c r="S151" s="39">
        <v>611.33000000000004</v>
      </c>
      <c r="T151" s="39">
        <v>7</v>
      </c>
      <c r="U151" s="39">
        <v>0.7</v>
      </c>
      <c r="V151" s="16">
        <v>0</v>
      </c>
      <c r="W151" s="16">
        <v>571.48299999999995</v>
      </c>
      <c r="X151" s="35">
        <v>27.902999999999999</v>
      </c>
    </row>
    <row r="152" spans="17:24" x14ac:dyDescent="0.25">
      <c r="Q152" s="19" t="s">
        <v>189</v>
      </c>
      <c r="R152" s="20">
        <v>45432</v>
      </c>
      <c r="S152" s="40">
        <v>611.33000000000004</v>
      </c>
      <c r="T152" s="40">
        <v>7</v>
      </c>
      <c r="U152" s="40">
        <v>0.7</v>
      </c>
      <c r="V152" s="21">
        <v>500</v>
      </c>
      <c r="W152" s="21">
        <v>605.94600000000003</v>
      </c>
      <c r="X152" s="32">
        <v>71.200999999999993</v>
      </c>
    </row>
    <row r="153" spans="17:24" x14ac:dyDescent="0.25">
      <c r="Q153" s="19" t="s">
        <v>189</v>
      </c>
      <c r="R153" s="20">
        <v>45432</v>
      </c>
      <c r="S153" s="40">
        <v>611.33000000000004</v>
      </c>
      <c r="T153" s="40">
        <v>7</v>
      </c>
      <c r="U153" s="40">
        <v>0.7</v>
      </c>
      <c r="V153" s="21">
        <v>1000</v>
      </c>
      <c r="W153" s="21">
        <v>640.67899999999997</v>
      </c>
      <c r="X153" s="32">
        <v>78.784000000000006</v>
      </c>
    </row>
    <row r="154" spans="17:24" x14ac:dyDescent="0.25">
      <c r="Q154" s="19" t="s">
        <v>189</v>
      </c>
      <c r="R154" s="20">
        <v>45432</v>
      </c>
      <c r="S154" s="40">
        <v>611.33000000000004</v>
      </c>
      <c r="T154" s="40">
        <v>7</v>
      </c>
      <c r="U154" s="40">
        <v>0.7</v>
      </c>
      <c r="V154" s="21">
        <v>1500</v>
      </c>
      <c r="W154" s="21">
        <v>675.09799999999996</v>
      </c>
      <c r="X154" s="32">
        <v>84.358000000000004</v>
      </c>
    </row>
    <row r="155" spans="17:24" x14ac:dyDescent="0.25">
      <c r="Q155" s="19" t="s">
        <v>189</v>
      </c>
      <c r="R155" s="20">
        <v>45432</v>
      </c>
      <c r="S155" s="40">
        <v>611.33000000000004</v>
      </c>
      <c r="T155" s="40">
        <v>7</v>
      </c>
      <c r="U155" s="40">
        <v>0.7</v>
      </c>
      <c r="V155" s="21">
        <v>2000</v>
      </c>
      <c r="W155" s="21">
        <v>708.423</v>
      </c>
      <c r="X155" s="32">
        <v>87.759</v>
      </c>
    </row>
    <row r="156" spans="17:24" x14ac:dyDescent="0.25">
      <c r="Q156" s="19" t="s">
        <v>189</v>
      </c>
      <c r="R156" s="20">
        <v>45432</v>
      </c>
      <c r="S156" s="40">
        <v>611.33000000000004</v>
      </c>
      <c r="T156" s="40">
        <v>7</v>
      </c>
      <c r="U156" s="40">
        <v>0.7</v>
      </c>
      <c r="V156" s="21">
        <v>2100</v>
      </c>
      <c r="W156" s="21">
        <v>715.24599999999998</v>
      </c>
      <c r="X156" s="32">
        <v>88.466999999999999</v>
      </c>
    </row>
    <row r="157" spans="17:24" ht="16.5" thickBot="1" x14ac:dyDescent="0.3">
      <c r="Q157" s="24" t="s">
        <v>189</v>
      </c>
      <c r="R157" s="25">
        <v>45432</v>
      </c>
      <c r="S157" s="41">
        <v>611.33000000000004</v>
      </c>
      <c r="T157" s="41">
        <v>7</v>
      </c>
      <c r="U157" s="41">
        <v>0.7</v>
      </c>
      <c r="V157" s="26">
        <v>2180</v>
      </c>
      <c r="W157" s="26">
        <v>720.93899999999996</v>
      </c>
      <c r="X157" s="33">
        <v>88.977000000000004</v>
      </c>
    </row>
    <row r="158" spans="17:24" x14ac:dyDescent="0.25">
      <c r="Q158" s="14" t="s">
        <v>86</v>
      </c>
      <c r="R158" s="15">
        <v>45400</v>
      </c>
      <c r="S158" s="39">
        <v>739.85799999999995</v>
      </c>
      <c r="T158" s="39">
        <v>8.64</v>
      </c>
      <c r="U158" s="39">
        <v>0.48</v>
      </c>
      <c r="V158" s="16">
        <v>0</v>
      </c>
      <c r="W158" s="16">
        <v>586.62800000000004</v>
      </c>
      <c r="X158" s="35">
        <v>36.627000000000002</v>
      </c>
    </row>
    <row r="159" spans="17:24" x14ac:dyDescent="0.25">
      <c r="Q159" s="19" t="s">
        <v>86</v>
      </c>
      <c r="R159" s="20">
        <v>45400</v>
      </c>
      <c r="S159" s="40">
        <v>739.85799999999995</v>
      </c>
      <c r="T159" s="40">
        <v>8.64</v>
      </c>
      <c r="U159" s="40">
        <v>0.48</v>
      </c>
      <c r="V159" s="21">
        <v>500</v>
      </c>
      <c r="W159" s="21">
        <v>627.101</v>
      </c>
      <c r="X159" s="32">
        <v>74.438999999999993</v>
      </c>
    </row>
    <row r="160" spans="17:24" x14ac:dyDescent="0.25">
      <c r="Q160" s="19" t="s">
        <v>86</v>
      </c>
      <c r="R160" s="20">
        <v>45400</v>
      </c>
      <c r="S160" s="40">
        <v>739.85799999999995</v>
      </c>
      <c r="T160" s="40">
        <v>8.64</v>
      </c>
      <c r="U160" s="40">
        <v>0.48</v>
      </c>
      <c r="V160" s="21">
        <v>1000</v>
      </c>
      <c r="W160" s="21">
        <v>666.27599999999995</v>
      </c>
      <c r="X160" s="32">
        <v>80.231999999999999</v>
      </c>
    </row>
    <row r="161" spans="17:24" x14ac:dyDescent="0.25">
      <c r="Q161" s="19" t="s">
        <v>86</v>
      </c>
      <c r="R161" s="20">
        <v>45400</v>
      </c>
      <c r="S161" s="40">
        <v>739.85799999999995</v>
      </c>
      <c r="T161" s="40">
        <v>8.64</v>
      </c>
      <c r="U161" s="40">
        <v>0.48</v>
      </c>
      <c r="V161" s="21">
        <v>1500</v>
      </c>
      <c r="W161" s="21">
        <v>703.995</v>
      </c>
      <c r="X161" s="32">
        <v>84.503</v>
      </c>
    </row>
    <row r="162" spans="17:24" x14ac:dyDescent="0.25">
      <c r="Q162" s="19" t="s">
        <v>86</v>
      </c>
      <c r="R162" s="20">
        <v>45400</v>
      </c>
      <c r="S162" s="40">
        <v>739.85799999999995</v>
      </c>
      <c r="T162" s="40">
        <v>8.64</v>
      </c>
      <c r="U162" s="40">
        <v>0.48</v>
      </c>
      <c r="V162" s="21">
        <v>1945</v>
      </c>
      <c r="W162" s="21">
        <v>738.29399999999998</v>
      </c>
      <c r="X162" s="32">
        <v>87.317999999999998</v>
      </c>
    </row>
    <row r="163" spans="17:24" x14ac:dyDescent="0.25">
      <c r="Q163" s="19" t="s">
        <v>86</v>
      </c>
      <c r="R163" s="20">
        <v>45400</v>
      </c>
      <c r="S163" s="40">
        <v>739.85799999999995</v>
      </c>
      <c r="T163" s="40">
        <v>8.64</v>
      </c>
      <c r="U163" s="40">
        <v>0.48</v>
      </c>
      <c r="V163" s="21">
        <v>1995</v>
      </c>
      <c r="W163" s="21">
        <v>741.75699999999995</v>
      </c>
      <c r="X163" s="32">
        <v>87.703000000000003</v>
      </c>
    </row>
    <row r="164" spans="17:24" ht="16.5" thickBot="1" x14ac:dyDescent="0.3">
      <c r="Q164" s="24" t="s">
        <v>86</v>
      </c>
      <c r="R164" s="25">
        <v>45400</v>
      </c>
      <c r="S164" s="41">
        <v>739.85799999999995</v>
      </c>
      <c r="T164" s="41">
        <v>8.64</v>
      </c>
      <c r="U164" s="41">
        <v>0.48</v>
      </c>
      <c r="V164" s="26">
        <v>2045</v>
      </c>
      <c r="W164" s="26">
        <v>745.70100000000002</v>
      </c>
      <c r="X164" s="33">
        <v>87.977000000000004</v>
      </c>
    </row>
    <row r="165" spans="17:24" x14ac:dyDescent="0.25">
      <c r="Q165" s="14" t="s">
        <v>240</v>
      </c>
      <c r="R165" s="15">
        <v>45417</v>
      </c>
      <c r="S165" s="39">
        <v>997.95736566666665</v>
      </c>
      <c r="T165" s="39">
        <v>11.28</v>
      </c>
      <c r="U165" s="39">
        <v>0.92800000000000005</v>
      </c>
      <c r="V165" s="16">
        <v>0</v>
      </c>
      <c r="W165" s="39">
        <v>657.94399999999996</v>
      </c>
      <c r="X165" s="18">
        <v>34.396999999999998</v>
      </c>
    </row>
    <row r="166" spans="17:24" x14ac:dyDescent="0.25">
      <c r="Q166" s="19" t="s">
        <v>240</v>
      </c>
      <c r="R166" s="20">
        <v>45417</v>
      </c>
      <c r="S166" s="40">
        <v>997.95736566666665</v>
      </c>
      <c r="T166" s="40">
        <v>11.28</v>
      </c>
      <c r="U166" s="40">
        <v>0.92800000000000005</v>
      </c>
      <c r="V166" s="21">
        <v>500</v>
      </c>
      <c r="W166" s="40">
        <v>704.71100000000001</v>
      </c>
      <c r="X166" s="23">
        <v>75.027000000000001</v>
      </c>
    </row>
    <row r="167" spans="17:24" x14ac:dyDescent="0.25">
      <c r="Q167" s="19" t="s">
        <v>240</v>
      </c>
      <c r="R167" s="20">
        <v>45417</v>
      </c>
      <c r="S167" s="40">
        <v>997.95736566666665</v>
      </c>
      <c r="T167" s="40">
        <v>11.28</v>
      </c>
      <c r="U167" s="40">
        <v>0.92800000000000005</v>
      </c>
      <c r="V167" s="21">
        <v>1000</v>
      </c>
      <c r="W167" s="40">
        <v>753.625</v>
      </c>
      <c r="X167" s="23">
        <v>81.706999999999994</v>
      </c>
    </row>
    <row r="168" spans="17:24" x14ac:dyDescent="0.25">
      <c r="Q168" s="19" t="s">
        <v>240</v>
      </c>
      <c r="R168" s="20">
        <v>45417</v>
      </c>
      <c r="S168" s="40">
        <v>997.95736566666665</v>
      </c>
      <c r="T168" s="40">
        <v>11.28</v>
      </c>
      <c r="U168" s="40">
        <v>0.92800000000000005</v>
      </c>
      <c r="V168" s="21">
        <v>1500</v>
      </c>
      <c r="W168" s="40">
        <v>801.875</v>
      </c>
      <c r="X168" s="23">
        <v>86.637</v>
      </c>
    </row>
    <row r="169" spans="17:24" x14ac:dyDescent="0.25">
      <c r="Q169" s="19" t="s">
        <v>240</v>
      </c>
      <c r="R169" s="20">
        <v>45417</v>
      </c>
      <c r="S169" s="40">
        <v>997.95736566666665</v>
      </c>
      <c r="T169" s="40">
        <v>11.28</v>
      </c>
      <c r="U169" s="40">
        <v>0.92800000000000005</v>
      </c>
      <c r="V169" s="21">
        <v>2065</v>
      </c>
      <c r="W169" s="40">
        <v>854.84500000000003</v>
      </c>
      <c r="X169" s="23">
        <v>90.602000000000004</v>
      </c>
    </row>
    <row r="170" spans="17:24" x14ac:dyDescent="0.25">
      <c r="Q170" s="19" t="s">
        <v>240</v>
      </c>
      <c r="R170" s="20">
        <v>45417</v>
      </c>
      <c r="S170" s="40">
        <v>997.95736566666665</v>
      </c>
      <c r="T170" s="40">
        <v>11.28</v>
      </c>
      <c r="U170" s="40">
        <v>0.92800000000000005</v>
      </c>
      <c r="V170" s="21">
        <v>2115</v>
      </c>
      <c r="W170" s="40">
        <v>861.15800000000002</v>
      </c>
      <c r="X170" s="23">
        <v>91.081999999999994</v>
      </c>
    </row>
    <row r="171" spans="17:24" ht="16.5" thickBot="1" x14ac:dyDescent="0.3">
      <c r="Q171" s="24" t="s">
        <v>240</v>
      </c>
      <c r="R171" s="25">
        <v>45417</v>
      </c>
      <c r="S171" s="41">
        <v>997.95736566666665</v>
      </c>
      <c r="T171" s="41">
        <v>11.28</v>
      </c>
      <c r="U171" s="41">
        <v>0.92800000000000005</v>
      </c>
      <c r="V171" s="26">
        <v>2165</v>
      </c>
      <c r="W171" s="41">
        <v>865.75599999999997</v>
      </c>
      <c r="X171" s="28">
        <v>91.42</v>
      </c>
    </row>
    <row r="172" spans="17:24" x14ac:dyDescent="0.25">
      <c r="Q172" s="14" t="s">
        <v>84</v>
      </c>
      <c r="R172" s="15">
        <v>45357</v>
      </c>
      <c r="S172" s="47">
        <v>467.66500000000002</v>
      </c>
      <c r="T172" s="47">
        <v>2.23</v>
      </c>
      <c r="U172" s="47">
        <v>0.52</v>
      </c>
      <c r="V172" s="16">
        <v>0</v>
      </c>
      <c r="W172" s="16">
        <v>507.29700000000003</v>
      </c>
      <c r="X172" s="35">
        <v>20.611000000000001</v>
      </c>
    </row>
    <row r="173" spans="17:24" x14ac:dyDescent="0.25">
      <c r="Q173" s="19" t="s">
        <v>84</v>
      </c>
      <c r="R173" s="20">
        <v>45357</v>
      </c>
      <c r="S173" s="48">
        <v>467.66500000000002</v>
      </c>
      <c r="T173" s="48">
        <v>2.23</v>
      </c>
      <c r="U173" s="48">
        <v>0.52</v>
      </c>
      <c r="V173" s="21">
        <v>1000</v>
      </c>
      <c r="W173" s="21">
        <v>571.24599999999998</v>
      </c>
      <c r="X173" s="32">
        <v>72.082999999999998</v>
      </c>
    </row>
    <row r="174" spans="17:24" x14ac:dyDescent="0.25">
      <c r="Q174" s="19" t="s">
        <v>84</v>
      </c>
      <c r="R174" s="20">
        <v>45357</v>
      </c>
      <c r="S174" s="48">
        <v>467.66500000000002</v>
      </c>
      <c r="T174" s="48">
        <v>2.23</v>
      </c>
      <c r="U174" s="48">
        <v>0.52</v>
      </c>
      <c r="V174" s="21">
        <v>1945</v>
      </c>
      <c r="W174" s="21">
        <v>633.51099999999997</v>
      </c>
      <c r="X174" s="32">
        <v>81.641999999999996</v>
      </c>
    </row>
    <row r="175" spans="17:24" x14ac:dyDescent="0.25">
      <c r="Q175" s="19" t="s">
        <v>84</v>
      </c>
      <c r="R175" s="20">
        <v>45357</v>
      </c>
      <c r="S175" s="48">
        <v>467.66500000000002</v>
      </c>
      <c r="T175" s="48">
        <v>2.23</v>
      </c>
      <c r="U175" s="48">
        <v>0.52</v>
      </c>
      <c r="V175" s="21">
        <v>1995</v>
      </c>
      <c r="W175" s="21">
        <v>638.02300000000002</v>
      </c>
      <c r="X175" s="32">
        <v>83.337000000000003</v>
      </c>
    </row>
    <row r="176" spans="17:24" x14ac:dyDescent="0.25">
      <c r="Q176" s="19" t="s">
        <v>84</v>
      </c>
      <c r="R176" s="20">
        <v>45357</v>
      </c>
      <c r="S176" s="48">
        <v>467.66500000000002</v>
      </c>
      <c r="T176" s="48">
        <v>2.23</v>
      </c>
      <c r="U176" s="48">
        <v>0.52</v>
      </c>
      <c r="V176" s="21">
        <v>2045</v>
      </c>
      <c r="W176" s="21">
        <v>642.58500000000004</v>
      </c>
      <c r="X176" s="32">
        <v>83.997</v>
      </c>
    </row>
    <row r="177" spans="17:24" x14ac:dyDescent="0.25">
      <c r="Q177" s="19" t="s">
        <v>84</v>
      </c>
      <c r="R177" s="20">
        <v>45357</v>
      </c>
      <c r="S177" s="48">
        <v>241.56</v>
      </c>
      <c r="T177" s="48">
        <v>1.1160000000000001</v>
      </c>
      <c r="U177" s="48">
        <v>0.08</v>
      </c>
      <c r="V177" s="21">
        <v>2045</v>
      </c>
      <c r="W177" s="21">
        <v>842.15700000000004</v>
      </c>
      <c r="X177" s="32">
        <v>87.573999999999998</v>
      </c>
    </row>
    <row r="178" spans="17:24" x14ac:dyDescent="0.25">
      <c r="Q178" s="19" t="s">
        <v>84</v>
      </c>
      <c r="R178" s="20">
        <v>45357</v>
      </c>
      <c r="S178" s="48">
        <v>241.56</v>
      </c>
      <c r="T178" s="48">
        <v>1.1160000000000001</v>
      </c>
      <c r="U178" s="48">
        <v>0.08</v>
      </c>
      <c r="V178" s="21">
        <v>1995</v>
      </c>
      <c r="W178" s="21">
        <v>838.83799999999997</v>
      </c>
      <c r="X178" s="32">
        <v>87.212999999999994</v>
      </c>
    </row>
    <row r="179" spans="17:24" x14ac:dyDescent="0.25">
      <c r="Q179" s="19" t="s">
        <v>84</v>
      </c>
      <c r="R179" s="20">
        <v>45357</v>
      </c>
      <c r="S179" s="48">
        <v>241.56</v>
      </c>
      <c r="T179" s="48">
        <v>1.1160000000000001</v>
      </c>
      <c r="U179" s="48">
        <v>0.08</v>
      </c>
      <c r="V179" s="21">
        <v>1945</v>
      </c>
      <c r="W179" s="21">
        <v>835.73900000000003</v>
      </c>
      <c r="X179" s="32">
        <v>86.905000000000001</v>
      </c>
    </row>
    <row r="180" spans="17:24" x14ac:dyDescent="0.25">
      <c r="Q180" s="19" t="s">
        <v>84</v>
      </c>
      <c r="R180" s="20">
        <v>45357</v>
      </c>
      <c r="S180" s="48">
        <v>241.56</v>
      </c>
      <c r="T180" s="48">
        <v>1.1160000000000001</v>
      </c>
      <c r="U180" s="48">
        <v>0.08</v>
      </c>
      <c r="V180" s="21">
        <v>1000</v>
      </c>
      <c r="W180" s="21">
        <v>777.48900000000003</v>
      </c>
      <c r="X180" s="32">
        <v>80.343999999999994</v>
      </c>
    </row>
    <row r="181" spans="17:24" ht="16.5" thickBot="1" x14ac:dyDescent="0.3">
      <c r="Q181" s="24" t="s">
        <v>84</v>
      </c>
      <c r="R181" s="25">
        <v>45357</v>
      </c>
      <c r="S181" s="49">
        <v>241.56</v>
      </c>
      <c r="T181" s="49">
        <v>1.1160000000000001</v>
      </c>
      <c r="U181" s="49">
        <v>0.08</v>
      </c>
      <c r="V181" s="26">
        <v>0</v>
      </c>
      <c r="W181" s="26">
        <v>718.84400000000005</v>
      </c>
      <c r="X181" s="33">
        <v>59.628</v>
      </c>
    </row>
    <row r="182" spans="17:24" x14ac:dyDescent="0.25">
      <c r="Q182" s="14" t="s">
        <v>135</v>
      </c>
      <c r="R182" s="15">
        <v>45383</v>
      </c>
      <c r="S182" s="39">
        <v>769.18200000000002</v>
      </c>
      <c r="T182" s="39">
        <v>14.04</v>
      </c>
      <c r="U182" s="39">
        <v>0.78</v>
      </c>
      <c r="V182" s="16">
        <v>0</v>
      </c>
      <c r="W182" s="39">
        <v>617.71</v>
      </c>
      <c r="X182" s="18">
        <v>34.4</v>
      </c>
    </row>
    <row r="183" spans="17:24" x14ac:dyDescent="0.25">
      <c r="Q183" s="19" t="s">
        <v>135</v>
      </c>
      <c r="R183" s="20">
        <v>45383</v>
      </c>
      <c r="S183" s="40">
        <v>769.18200000000002</v>
      </c>
      <c r="T183" s="40">
        <v>14.04</v>
      </c>
      <c r="U183" s="40">
        <v>0.78</v>
      </c>
      <c r="V183" s="21">
        <v>500</v>
      </c>
      <c r="W183" s="40">
        <v>660.79</v>
      </c>
      <c r="X183" s="23">
        <v>71.8</v>
      </c>
    </row>
    <row r="184" spans="17:24" x14ac:dyDescent="0.25">
      <c r="Q184" s="19" t="s">
        <v>135</v>
      </c>
      <c r="R184" s="20">
        <v>45383</v>
      </c>
      <c r="S184" s="40">
        <v>769.18200000000002</v>
      </c>
      <c r="T184" s="40">
        <v>14.04</v>
      </c>
      <c r="U184" s="40">
        <v>0.78</v>
      </c>
      <c r="V184" s="21">
        <v>1000</v>
      </c>
      <c r="W184" s="40">
        <v>701.88</v>
      </c>
      <c r="X184" s="23">
        <v>77.7</v>
      </c>
    </row>
    <row r="185" spans="17:24" x14ac:dyDescent="0.25">
      <c r="Q185" s="19" t="s">
        <v>135</v>
      </c>
      <c r="R185" s="20">
        <v>45383</v>
      </c>
      <c r="S185" s="40">
        <v>769.18200000000002</v>
      </c>
      <c r="T185" s="40">
        <v>14.04</v>
      </c>
      <c r="U185" s="40">
        <v>0.78</v>
      </c>
      <c r="V185" s="21">
        <v>1500</v>
      </c>
      <c r="W185" s="40">
        <v>743.33</v>
      </c>
      <c r="X185" s="23">
        <v>82.2</v>
      </c>
    </row>
    <row r="186" spans="17:24" x14ac:dyDescent="0.25">
      <c r="Q186" s="19" t="s">
        <v>135</v>
      </c>
      <c r="R186" s="20">
        <v>45383</v>
      </c>
      <c r="S186" s="40">
        <v>769.18200000000002</v>
      </c>
      <c r="T186" s="40">
        <v>14.04</v>
      </c>
      <c r="U186" s="40">
        <v>0.78</v>
      </c>
      <c r="V186" s="21">
        <v>2000</v>
      </c>
      <c r="W186" s="40">
        <v>785.47</v>
      </c>
      <c r="X186" s="23">
        <v>85.5</v>
      </c>
    </row>
    <row r="187" spans="17:24" ht="16.5" thickBot="1" x14ac:dyDescent="0.3">
      <c r="Q187" s="24" t="s">
        <v>135</v>
      </c>
      <c r="R187" s="25">
        <v>45383</v>
      </c>
      <c r="S187" s="41">
        <v>769.18200000000002</v>
      </c>
      <c r="T187" s="41">
        <v>14.04</v>
      </c>
      <c r="U187" s="41">
        <v>0.78</v>
      </c>
      <c r="V187" s="26">
        <v>2200</v>
      </c>
      <c r="W187" s="41">
        <v>801.84</v>
      </c>
      <c r="X187" s="28">
        <v>86.7</v>
      </c>
    </row>
    <row r="188" spans="17:24" x14ac:dyDescent="0.25">
      <c r="Q188" s="14" t="s">
        <v>320</v>
      </c>
      <c r="R188" s="15">
        <v>45372</v>
      </c>
      <c r="S188" s="39">
        <v>869.87199999999996</v>
      </c>
      <c r="T188" s="39">
        <v>6</v>
      </c>
      <c r="U188" s="39">
        <v>0.72</v>
      </c>
      <c r="V188" s="16">
        <v>0</v>
      </c>
      <c r="W188" s="16">
        <v>643.83000000000004</v>
      </c>
      <c r="X188" s="35">
        <v>28.079000000000001</v>
      </c>
    </row>
    <row r="189" spans="17:24" x14ac:dyDescent="0.25">
      <c r="Q189" s="19" t="s">
        <v>320</v>
      </c>
      <c r="R189" s="20">
        <v>45372</v>
      </c>
      <c r="S189" s="40">
        <v>869.87199999999996</v>
      </c>
      <c r="T189" s="40">
        <v>6</v>
      </c>
      <c r="U189" s="40">
        <v>0.72</v>
      </c>
      <c r="V189" s="21">
        <v>500</v>
      </c>
      <c r="W189" s="21">
        <v>689.44399999999996</v>
      </c>
      <c r="X189" s="32">
        <v>68.236000000000004</v>
      </c>
    </row>
    <row r="190" spans="17:24" x14ac:dyDescent="0.25">
      <c r="Q190" s="19" t="s">
        <v>320</v>
      </c>
      <c r="R190" s="20">
        <v>45372</v>
      </c>
      <c r="S190" s="40">
        <v>869.87199999999996</v>
      </c>
      <c r="T190" s="40">
        <v>6</v>
      </c>
      <c r="U190" s="40">
        <v>0.72</v>
      </c>
      <c r="V190" s="21">
        <v>1000</v>
      </c>
      <c r="W190" s="21">
        <v>734.25099999999998</v>
      </c>
      <c r="X190" s="32">
        <v>75.230999999999995</v>
      </c>
    </row>
    <row r="191" spans="17:24" x14ac:dyDescent="0.25">
      <c r="Q191" s="19" t="s">
        <v>320</v>
      </c>
      <c r="R191" s="20">
        <v>45372</v>
      </c>
      <c r="S191" s="40">
        <v>869.87199999999996</v>
      </c>
      <c r="T191" s="40">
        <v>6</v>
      </c>
      <c r="U191" s="40">
        <v>0.72</v>
      </c>
      <c r="V191" s="21">
        <v>1500</v>
      </c>
      <c r="W191" s="21">
        <v>778.96699999999998</v>
      </c>
      <c r="X191" s="32">
        <v>80.296000000000006</v>
      </c>
    </row>
    <row r="192" spans="17:24" x14ac:dyDescent="0.25">
      <c r="Q192" s="19" t="s">
        <v>320</v>
      </c>
      <c r="R192" s="20">
        <v>45372</v>
      </c>
      <c r="S192" s="40">
        <v>869.87199999999996</v>
      </c>
      <c r="T192" s="40">
        <v>6</v>
      </c>
      <c r="U192" s="40">
        <v>0.72</v>
      </c>
      <c r="V192" s="21">
        <v>2000</v>
      </c>
      <c r="W192" s="21">
        <v>822.35799999999995</v>
      </c>
      <c r="X192" s="32">
        <v>83.822000000000003</v>
      </c>
    </row>
    <row r="193" spans="17:24" ht="16.5" thickBot="1" x14ac:dyDescent="0.3">
      <c r="Q193" s="24" t="s">
        <v>320</v>
      </c>
      <c r="R193" s="25">
        <v>45372</v>
      </c>
      <c r="S193" s="41">
        <v>869.87199999999996</v>
      </c>
      <c r="T193" s="41">
        <v>6</v>
      </c>
      <c r="U193" s="41">
        <v>0.72</v>
      </c>
      <c r="V193" s="26">
        <v>2160</v>
      </c>
      <c r="W193" s="26">
        <v>838.09900000000005</v>
      </c>
      <c r="X193" s="33">
        <v>85.94</v>
      </c>
    </row>
    <row r="194" spans="17:24" x14ac:dyDescent="0.25">
      <c r="Q194" s="14" t="s">
        <v>106</v>
      </c>
      <c r="R194" s="15">
        <v>45477</v>
      </c>
      <c r="S194" s="39">
        <v>1040.7917164</v>
      </c>
      <c r="T194" s="39">
        <v>9.9733333333333327</v>
      </c>
      <c r="U194" s="39">
        <v>0.74666666666666659</v>
      </c>
      <c r="V194" s="16">
        <v>0</v>
      </c>
      <c r="W194" s="16">
        <v>637.82299999999998</v>
      </c>
      <c r="X194" s="35">
        <v>36.981999999999999</v>
      </c>
    </row>
    <row r="195" spans="17:24" x14ac:dyDescent="0.25">
      <c r="Q195" s="19" t="s">
        <v>106</v>
      </c>
      <c r="R195" s="20">
        <v>45477</v>
      </c>
      <c r="S195" s="40">
        <v>1040.7917164</v>
      </c>
      <c r="T195" s="40">
        <v>9.9733333333333327</v>
      </c>
      <c r="U195" s="40">
        <v>0.74666666666666659</v>
      </c>
      <c r="V195" s="21">
        <v>500</v>
      </c>
      <c r="W195" s="21">
        <v>688.03599999999994</v>
      </c>
      <c r="X195" s="32">
        <v>73.474000000000004</v>
      </c>
    </row>
    <row r="196" spans="17:24" x14ac:dyDescent="0.25">
      <c r="Q196" s="19" t="s">
        <v>106</v>
      </c>
      <c r="R196" s="20">
        <v>45477</v>
      </c>
      <c r="S196" s="40">
        <v>1040.7917164</v>
      </c>
      <c r="T196" s="40">
        <v>9.9733333333333327</v>
      </c>
      <c r="U196" s="40">
        <v>0.74666666666666659</v>
      </c>
      <c r="V196" s="21">
        <v>1000</v>
      </c>
      <c r="W196" s="21">
        <v>739.60400000000004</v>
      </c>
      <c r="X196" s="32">
        <v>79.676000000000002</v>
      </c>
    </row>
    <row r="197" spans="17:24" x14ac:dyDescent="0.25">
      <c r="Q197" s="19" t="s">
        <v>106</v>
      </c>
      <c r="R197" s="20">
        <v>45477</v>
      </c>
      <c r="S197" s="40">
        <v>1040.7917164</v>
      </c>
      <c r="T197" s="40">
        <v>9.9733333333333327</v>
      </c>
      <c r="U197" s="40">
        <v>0.74666666666666659</v>
      </c>
      <c r="V197" s="21">
        <v>1500</v>
      </c>
      <c r="W197" s="21">
        <v>790.20299999999997</v>
      </c>
      <c r="X197" s="32">
        <v>84.24</v>
      </c>
    </row>
    <row r="198" spans="17:24" x14ac:dyDescent="0.25">
      <c r="Q198" s="19" t="s">
        <v>106</v>
      </c>
      <c r="R198" s="20">
        <v>45477</v>
      </c>
      <c r="S198" s="40">
        <v>1040.7917164</v>
      </c>
      <c r="T198" s="40">
        <v>9.9733333333333327</v>
      </c>
      <c r="U198" s="40">
        <v>0.74666666666666659</v>
      </c>
      <c r="V198" s="21">
        <v>1885</v>
      </c>
      <c r="W198" s="21">
        <v>828.55100000000004</v>
      </c>
      <c r="X198" s="32">
        <v>87.034999999999997</v>
      </c>
    </row>
    <row r="199" spans="17:24" x14ac:dyDescent="0.25">
      <c r="Q199" s="19" t="s">
        <v>106</v>
      </c>
      <c r="R199" s="20">
        <v>45477</v>
      </c>
      <c r="S199" s="40">
        <v>1040.7917164</v>
      </c>
      <c r="T199" s="40">
        <v>9.9733333333333327</v>
      </c>
      <c r="U199" s="40">
        <v>0.74666666666666659</v>
      </c>
      <c r="V199" s="21">
        <v>1935</v>
      </c>
      <c r="W199" s="21">
        <v>833.83299999999997</v>
      </c>
      <c r="X199" s="32">
        <v>87.528999999999996</v>
      </c>
    </row>
    <row r="200" spans="17:24" ht="16.5" thickBot="1" x14ac:dyDescent="0.3">
      <c r="Q200" s="24" t="s">
        <v>106</v>
      </c>
      <c r="R200" s="25">
        <v>45477</v>
      </c>
      <c r="S200" s="41">
        <v>1040.7917164</v>
      </c>
      <c r="T200" s="41">
        <v>9.9733333333333327</v>
      </c>
      <c r="U200" s="41">
        <v>0.74666666666666659</v>
      </c>
      <c r="V200" s="26">
        <v>1985</v>
      </c>
      <c r="W200" s="26">
        <v>840.94200000000001</v>
      </c>
      <c r="X200" s="33">
        <v>87.980999999999995</v>
      </c>
    </row>
    <row r="201" spans="17:24" x14ac:dyDescent="0.25">
      <c r="Q201" s="14" t="s">
        <v>182</v>
      </c>
      <c r="R201" s="15">
        <v>45421</v>
      </c>
      <c r="S201" s="39">
        <v>1081.6787115000002</v>
      </c>
      <c r="T201" s="39">
        <v>9.7200000000000042</v>
      </c>
      <c r="U201" s="39">
        <v>0.76800000000000024</v>
      </c>
      <c r="V201" s="16">
        <v>0</v>
      </c>
      <c r="W201" s="16">
        <v>665.197</v>
      </c>
      <c r="X201" s="35">
        <v>27.414999999999999</v>
      </c>
    </row>
    <row r="202" spans="17:24" x14ac:dyDescent="0.25">
      <c r="Q202" s="19" t="s">
        <v>182</v>
      </c>
      <c r="R202" s="20">
        <v>45421</v>
      </c>
      <c r="S202" s="40">
        <v>1081.6787115000002</v>
      </c>
      <c r="T202" s="40">
        <v>9.7200000000000042</v>
      </c>
      <c r="U202" s="40">
        <v>0.76800000000000024</v>
      </c>
      <c r="V202" s="21">
        <v>500</v>
      </c>
      <c r="W202" s="21">
        <v>717.72199999999998</v>
      </c>
      <c r="X202" s="32">
        <v>74.311000000000007</v>
      </c>
    </row>
    <row r="203" spans="17:24" x14ac:dyDescent="0.25">
      <c r="Q203" s="19" t="s">
        <v>182</v>
      </c>
      <c r="R203" s="20">
        <v>45421</v>
      </c>
      <c r="S203" s="40">
        <v>1081.6787115000002</v>
      </c>
      <c r="T203" s="40">
        <v>9.7200000000000042</v>
      </c>
      <c r="U203" s="40">
        <v>0.76800000000000024</v>
      </c>
      <c r="V203" s="21">
        <v>1000</v>
      </c>
      <c r="W203" s="21">
        <v>771.78899999999999</v>
      </c>
      <c r="X203" s="32">
        <v>80.494</v>
      </c>
    </row>
    <row r="204" spans="17:24" x14ac:dyDescent="0.25">
      <c r="Q204" s="19" t="s">
        <v>182</v>
      </c>
      <c r="R204" s="20">
        <v>45421</v>
      </c>
      <c r="S204" s="40">
        <v>1081.6787115000002</v>
      </c>
      <c r="T204" s="40">
        <v>9.7200000000000042</v>
      </c>
      <c r="U204" s="40">
        <v>0.76800000000000024</v>
      </c>
      <c r="V204" s="21">
        <v>1500</v>
      </c>
      <c r="W204" s="21">
        <v>824.21600000000001</v>
      </c>
      <c r="X204" s="32">
        <v>84.706999999999994</v>
      </c>
    </row>
    <row r="205" spans="17:24" x14ac:dyDescent="0.25">
      <c r="Q205" s="19" t="s">
        <v>182</v>
      </c>
      <c r="R205" s="20">
        <v>45421</v>
      </c>
      <c r="S205" s="40">
        <v>1081.6787115000002</v>
      </c>
      <c r="T205" s="40">
        <v>9.7200000000000042</v>
      </c>
      <c r="U205" s="40">
        <v>0.76800000000000024</v>
      </c>
      <c r="V205" s="21">
        <v>1990</v>
      </c>
      <c r="W205" s="21">
        <v>873.57299999999998</v>
      </c>
      <c r="X205" s="32">
        <v>87.962000000000003</v>
      </c>
    </row>
    <row r="206" spans="17:24" x14ac:dyDescent="0.25">
      <c r="Q206" s="19" t="s">
        <v>182</v>
      </c>
      <c r="R206" s="20">
        <v>45421</v>
      </c>
      <c r="S206" s="40">
        <v>1081.6787115000002</v>
      </c>
      <c r="T206" s="40">
        <v>9.7200000000000042</v>
      </c>
      <c r="U206" s="40">
        <v>0.76800000000000024</v>
      </c>
      <c r="V206" s="21">
        <v>2040</v>
      </c>
      <c r="W206" s="21">
        <v>880.31299999999999</v>
      </c>
      <c r="X206" s="32">
        <v>88.622</v>
      </c>
    </row>
    <row r="207" spans="17:24" ht="16.5" thickBot="1" x14ac:dyDescent="0.3">
      <c r="Q207" s="24" t="s">
        <v>182</v>
      </c>
      <c r="R207" s="25">
        <v>45421</v>
      </c>
      <c r="S207" s="41">
        <v>1081.6787115000002</v>
      </c>
      <c r="T207" s="41">
        <v>9.7200000000000042</v>
      </c>
      <c r="U207" s="41">
        <v>0.76800000000000024</v>
      </c>
      <c r="V207" s="26">
        <v>2090</v>
      </c>
      <c r="W207" s="26">
        <v>886.31799999999998</v>
      </c>
      <c r="X207" s="33">
        <v>89.004999999999995</v>
      </c>
    </row>
    <row r="208" spans="17:24" x14ac:dyDescent="0.25">
      <c r="Q208" s="14" t="s">
        <v>175</v>
      </c>
      <c r="R208" s="15">
        <v>45363</v>
      </c>
      <c r="S208" s="39">
        <v>878.79200000000003</v>
      </c>
      <c r="T208" s="39">
        <v>9.1199999999999992</v>
      </c>
      <c r="U208" s="39">
        <v>1.08</v>
      </c>
      <c r="V208" s="16">
        <v>0</v>
      </c>
      <c r="W208" s="16">
        <v>620.84299999999996</v>
      </c>
      <c r="X208" s="35">
        <v>26.568000000000001</v>
      </c>
    </row>
    <row r="209" spans="17:24" x14ac:dyDescent="0.25">
      <c r="Q209" s="19" t="s">
        <v>175</v>
      </c>
      <c r="R209" s="20">
        <v>45363</v>
      </c>
      <c r="S209" s="40">
        <v>878.79200000000003</v>
      </c>
      <c r="T209" s="40">
        <v>9.1199999999999992</v>
      </c>
      <c r="U209" s="40">
        <v>1.08</v>
      </c>
      <c r="V209" s="21">
        <v>1000</v>
      </c>
      <c r="W209" s="21">
        <v>711.61699999999996</v>
      </c>
      <c r="X209" s="32">
        <v>76.075999999999993</v>
      </c>
    </row>
    <row r="210" spans="17:24" x14ac:dyDescent="0.25">
      <c r="Q210" s="19" t="s">
        <v>175</v>
      </c>
      <c r="R210" s="20">
        <v>45363</v>
      </c>
      <c r="S210" s="40">
        <v>878.79200000000003</v>
      </c>
      <c r="T210" s="40">
        <v>9.1199999999999992</v>
      </c>
      <c r="U210" s="40">
        <v>1.08</v>
      </c>
      <c r="V210" s="21">
        <v>1995</v>
      </c>
      <c r="W210" s="21">
        <v>798.93200000000002</v>
      </c>
      <c r="X210" s="32">
        <v>85.358000000000004</v>
      </c>
    </row>
    <row r="211" spans="17:24" x14ac:dyDescent="0.25">
      <c r="Q211" s="19" t="s">
        <v>175</v>
      </c>
      <c r="R211" s="20">
        <v>45363</v>
      </c>
      <c r="S211" s="40">
        <v>878.79200000000003</v>
      </c>
      <c r="T211" s="40">
        <v>9.1199999999999992</v>
      </c>
      <c r="U211" s="40">
        <v>1.08</v>
      </c>
      <c r="V211" s="21">
        <v>2045</v>
      </c>
      <c r="W211" s="21">
        <v>805.04200000000003</v>
      </c>
      <c r="X211" s="32">
        <v>86.873000000000005</v>
      </c>
    </row>
    <row r="212" spans="17:24" x14ac:dyDescent="0.25">
      <c r="Q212" s="19" t="s">
        <v>175</v>
      </c>
      <c r="R212" s="20">
        <v>45363</v>
      </c>
      <c r="S212" s="40">
        <v>878.79200000000003</v>
      </c>
      <c r="T212" s="40">
        <v>9.1199999999999992</v>
      </c>
      <c r="U212" s="40">
        <v>1.08</v>
      </c>
      <c r="V212" s="21">
        <v>2095</v>
      </c>
      <c r="W212" s="21">
        <v>809.10299999999995</v>
      </c>
      <c r="X212" s="32">
        <v>87.646000000000001</v>
      </c>
    </row>
    <row r="213" spans="17:24" x14ac:dyDescent="0.25">
      <c r="Q213" s="19" t="s">
        <v>175</v>
      </c>
      <c r="R213" s="20">
        <v>45363</v>
      </c>
      <c r="S213" s="40">
        <v>473.95600000000002</v>
      </c>
      <c r="T213" s="40">
        <v>7.2</v>
      </c>
      <c r="U213" s="40">
        <v>0.48</v>
      </c>
      <c r="V213" s="21">
        <v>2095</v>
      </c>
      <c r="W213" s="21">
        <v>922.41200000000003</v>
      </c>
      <c r="X213" s="32">
        <v>89.811000000000007</v>
      </c>
    </row>
    <row r="214" spans="17:24" x14ac:dyDescent="0.25">
      <c r="Q214" s="19" t="s">
        <v>175</v>
      </c>
      <c r="R214" s="20">
        <v>45363</v>
      </c>
      <c r="S214" s="21">
        <v>473.95600000000002</v>
      </c>
      <c r="T214" s="21">
        <v>7.2</v>
      </c>
      <c r="U214" s="21">
        <v>0.48</v>
      </c>
      <c r="V214" s="21">
        <v>2045</v>
      </c>
      <c r="W214" s="21">
        <v>918.91099999999994</v>
      </c>
      <c r="X214" s="32">
        <v>89.680999999999997</v>
      </c>
    </row>
    <row r="215" spans="17:24" x14ac:dyDescent="0.25">
      <c r="Q215" s="19" t="s">
        <v>175</v>
      </c>
      <c r="R215" s="20">
        <v>45363</v>
      </c>
      <c r="S215" s="21">
        <v>473.95600000000002</v>
      </c>
      <c r="T215" s="21">
        <v>7.2</v>
      </c>
      <c r="U215" s="21">
        <v>0.48</v>
      </c>
      <c r="V215" s="21">
        <v>1995</v>
      </c>
      <c r="W215" s="21">
        <v>914.95600000000002</v>
      </c>
      <c r="X215" s="32">
        <v>89.376000000000005</v>
      </c>
    </row>
    <row r="216" spans="17:24" x14ac:dyDescent="0.25">
      <c r="Q216" s="19" t="s">
        <v>175</v>
      </c>
      <c r="R216" s="20">
        <v>45363</v>
      </c>
      <c r="S216" s="21">
        <v>473.95600000000002</v>
      </c>
      <c r="T216" s="21">
        <v>7.2</v>
      </c>
      <c r="U216" s="21">
        <v>0.48</v>
      </c>
      <c r="V216" s="21">
        <v>1000</v>
      </c>
      <c r="W216" s="21">
        <v>845.37900000000002</v>
      </c>
      <c r="X216" s="32">
        <v>83.14</v>
      </c>
    </row>
    <row r="217" spans="17:24" ht="16.5" thickBot="1" x14ac:dyDescent="0.3">
      <c r="Q217" s="24" t="s">
        <v>175</v>
      </c>
      <c r="R217" s="25">
        <v>45363</v>
      </c>
      <c r="S217" s="26">
        <v>473.95600000000002</v>
      </c>
      <c r="T217" s="26">
        <v>7.2</v>
      </c>
      <c r="U217" s="26">
        <v>0.48</v>
      </c>
      <c r="V217" s="26">
        <v>0</v>
      </c>
      <c r="W217" s="26">
        <v>776.47500000000002</v>
      </c>
      <c r="X217" s="33">
        <v>65.695999999999998</v>
      </c>
    </row>
    <row r="218" spans="17:24" x14ac:dyDescent="0.25">
      <c r="Q218" s="14" t="s">
        <v>124</v>
      </c>
      <c r="R218" s="15">
        <v>45468</v>
      </c>
      <c r="S218" s="39">
        <v>1150.0203064</v>
      </c>
      <c r="T218" s="39">
        <v>11.231999999999998</v>
      </c>
      <c r="U218" s="39">
        <v>0.90239999999999987</v>
      </c>
      <c r="V218" s="16">
        <v>0</v>
      </c>
      <c r="W218" s="16">
        <v>687.88699999999994</v>
      </c>
      <c r="X218" s="35">
        <v>41.9</v>
      </c>
    </row>
    <row r="219" spans="17:24" x14ac:dyDescent="0.25">
      <c r="Q219" s="19" t="s">
        <v>124</v>
      </c>
      <c r="R219" s="20">
        <v>45468</v>
      </c>
      <c r="S219" s="40">
        <v>1150.0203064</v>
      </c>
      <c r="T219" s="40">
        <v>11.231999999999998</v>
      </c>
      <c r="U219" s="40">
        <v>0.90239999999999987</v>
      </c>
      <c r="V219" s="21">
        <v>500</v>
      </c>
      <c r="W219" s="21">
        <v>741.23500000000001</v>
      </c>
      <c r="X219" s="32">
        <v>63.773000000000003</v>
      </c>
    </row>
    <row r="220" spans="17:24" x14ac:dyDescent="0.25">
      <c r="Q220" s="19" t="s">
        <v>124</v>
      </c>
      <c r="R220" s="20">
        <v>45468</v>
      </c>
      <c r="S220" s="40">
        <v>1150.0203064</v>
      </c>
      <c r="T220" s="40">
        <v>11.231999999999998</v>
      </c>
      <c r="U220" s="40">
        <v>0.90239999999999987</v>
      </c>
      <c r="V220" s="21">
        <v>1000</v>
      </c>
      <c r="W220" s="21">
        <v>797.18</v>
      </c>
      <c r="X220" s="32">
        <v>75.007999999999996</v>
      </c>
    </row>
    <row r="221" spans="17:24" x14ac:dyDescent="0.25">
      <c r="Q221" s="19" t="s">
        <v>124</v>
      </c>
      <c r="R221" s="20">
        <v>45468</v>
      </c>
      <c r="S221" s="40">
        <v>1150.0203064</v>
      </c>
      <c r="T221" s="40">
        <v>11.231999999999998</v>
      </c>
      <c r="U221" s="40">
        <v>0.90239999999999987</v>
      </c>
      <c r="V221" s="21">
        <v>1500</v>
      </c>
      <c r="W221" s="21">
        <v>851.995</v>
      </c>
      <c r="X221" s="32">
        <v>81.869</v>
      </c>
    </row>
    <row r="222" spans="17:24" x14ac:dyDescent="0.25">
      <c r="Q222" s="19" t="s">
        <v>124</v>
      </c>
      <c r="R222" s="20">
        <v>45468</v>
      </c>
      <c r="S222" s="40">
        <v>1150.0203064</v>
      </c>
      <c r="T222" s="40">
        <v>11.231999999999998</v>
      </c>
      <c r="U222" s="40">
        <v>0.90239999999999987</v>
      </c>
      <c r="V222" s="21">
        <v>2065</v>
      </c>
      <c r="W222" s="21">
        <v>913.274</v>
      </c>
      <c r="X222" s="32">
        <v>86.664000000000001</v>
      </c>
    </row>
    <row r="223" spans="17:24" ht="16.5" thickBot="1" x14ac:dyDescent="0.3">
      <c r="Q223" s="24" t="s">
        <v>124</v>
      </c>
      <c r="R223" s="25">
        <v>45468</v>
      </c>
      <c r="S223" s="41">
        <v>1150.0203064</v>
      </c>
      <c r="T223" s="41">
        <v>11.231999999999998</v>
      </c>
      <c r="U223" s="41">
        <v>0.90239999999999987</v>
      </c>
      <c r="V223" s="26">
        <v>2115</v>
      </c>
      <c r="W223" s="26">
        <v>919.85799999999995</v>
      </c>
      <c r="X223" s="33">
        <v>90.450999999999993</v>
      </c>
    </row>
    <row r="224" spans="17:24" x14ac:dyDescent="0.25">
      <c r="Q224" s="14" t="s">
        <v>255</v>
      </c>
      <c r="R224" s="15">
        <v>45386</v>
      </c>
      <c r="S224" s="39">
        <v>1096.674</v>
      </c>
      <c r="T224" s="39">
        <v>19.68</v>
      </c>
      <c r="U224" s="39">
        <v>0.96</v>
      </c>
      <c r="V224" s="16">
        <v>0</v>
      </c>
      <c r="W224" s="16">
        <v>713.44</v>
      </c>
      <c r="X224" s="35">
        <v>39.799999999999997</v>
      </c>
    </row>
    <row r="225" spans="17:24" x14ac:dyDescent="0.25">
      <c r="Q225" s="19" t="s">
        <v>255</v>
      </c>
      <c r="R225" s="20">
        <v>45386</v>
      </c>
      <c r="S225" s="40">
        <v>1096.674</v>
      </c>
      <c r="T225" s="40">
        <v>19.68</v>
      </c>
      <c r="U225" s="40">
        <v>0.96</v>
      </c>
      <c r="V225" s="21">
        <v>500</v>
      </c>
      <c r="W225" s="21">
        <v>775.89</v>
      </c>
      <c r="X225" s="32">
        <v>72.900000000000006</v>
      </c>
    </row>
    <row r="226" spans="17:24" x14ac:dyDescent="0.25">
      <c r="Q226" s="19" t="s">
        <v>255</v>
      </c>
      <c r="R226" s="20">
        <v>45386</v>
      </c>
      <c r="S226" s="40">
        <v>1096.674</v>
      </c>
      <c r="T226" s="40">
        <v>19.68</v>
      </c>
      <c r="U226" s="40">
        <v>0.96</v>
      </c>
      <c r="V226" s="21">
        <v>1000</v>
      </c>
      <c r="W226" s="21">
        <v>823.11</v>
      </c>
      <c r="X226" s="32">
        <v>78.099999999999994</v>
      </c>
    </row>
    <row r="227" spans="17:24" x14ac:dyDescent="0.25">
      <c r="Q227" s="19" t="s">
        <v>255</v>
      </c>
      <c r="R227" s="20">
        <v>45386</v>
      </c>
      <c r="S227" s="40">
        <v>1096.674</v>
      </c>
      <c r="T227" s="40">
        <v>19.68</v>
      </c>
      <c r="U227" s="40">
        <v>0.96</v>
      </c>
      <c r="V227" s="21">
        <v>1500</v>
      </c>
      <c r="W227" s="21">
        <v>880.46</v>
      </c>
      <c r="X227" s="32">
        <v>82.5</v>
      </c>
    </row>
    <row r="228" spans="17:24" x14ac:dyDescent="0.25">
      <c r="Q228" s="19" t="s">
        <v>255</v>
      </c>
      <c r="R228" s="20">
        <v>45386</v>
      </c>
      <c r="S228" s="40">
        <v>1096.674</v>
      </c>
      <c r="T228" s="40">
        <v>19.68</v>
      </c>
      <c r="U228" s="40">
        <v>0.96</v>
      </c>
      <c r="V228" s="21">
        <v>2000</v>
      </c>
      <c r="W228" s="21">
        <v>933.47</v>
      </c>
      <c r="X228" s="32">
        <v>86</v>
      </c>
    </row>
    <row r="229" spans="17:24" ht="16.5" thickBot="1" x14ac:dyDescent="0.3">
      <c r="Q229" s="24" t="s">
        <v>255</v>
      </c>
      <c r="R229" s="25">
        <v>45386</v>
      </c>
      <c r="S229" s="41">
        <v>1096.674</v>
      </c>
      <c r="T229" s="41">
        <v>19.68</v>
      </c>
      <c r="U229" s="41">
        <v>0.96</v>
      </c>
      <c r="V229" s="26">
        <v>2218</v>
      </c>
      <c r="W229" s="26">
        <v>954.06</v>
      </c>
      <c r="X229" s="33">
        <v>87.5</v>
      </c>
    </row>
    <row r="230" spans="17:24" x14ac:dyDescent="0.25">
      <c r="Q230" s="14" t="s">
        <v>256</v>
      </c>
      <c r="R230" s="15">
        <v>45408</v>
      </c>
      <c r="S230" s="39">
        <v>903.548</v>
      </c>
      <c r="T230" s="39">
        <v>10.18</v>
      </c>
      <c r="U230" s="39">
        <v>0.67</v>
      </c>
      <c r="V230" s="16">
        <v>0</v>
      </c>
      <c r="W230" s="16">
        <v>622.50199999999995</v>
      </c>
      <c r="X230" s="35">
        <v>24.623999999999999</v>
      </c>
    </row>
    <row r="231" spans="17:24" x14ac:dyDescent="0.25">
      <c r="Q231" s="19" t="s">
        <v>256</v>
      </c>
      <c r="R231" s="20">
        <v>45408</v>
      </c>
      <c r="S231" s="40">
        <v>903.548</v>
      </c>
      <c r="T231" s="40">
        <v>10.18</v>
      </c>
      <c r="U231" s="40">
        <v>0.67</v>
      </c>
      <c r="V231" s="21">
        <v>500</v>
      </c>
      <c r="W231" s="21">
        <v>664.66300000000001</v>
      </c>
      <c r="X231" s="32">
        <v>67.784999999999997</v>
      </c>
    </row>
    <row r="232" spans="17:24" x14ac:dyDescent="0.25">
      <c r="Q232" s="19" t="s">
        <v>256</v>
      </c>
      <c r="R232" s="20">
        <v>45408</v>
      </c>
      <c r="S232" s="40">
        <v>903.548</v>
      </c>
      <c r="T232" s="40">
        <v>10.18</v>
      </c>
      <c r="U232" s="40">
        <v>0.67</v>
      </c>
      <c r="V232" s="21">
        <v>1000</v>
      </c>
      <c r="W232" s="21">
        <v>711.88099999999997</v>
      </c>
      <c r="X232" s="32">
        <v>77.259</v>
      </c>
    </row>
    <row r="233" spans="17:24" x14ac:dyDescent="0.25">
      <c r="Q233" s="19" t="s">
        <v>256</v>
      </c>
      <c r="R233" s="20">
        <v>45408</v>
      </c>
      <c r="S233" s="40">
        <v>903.548</v>
      </c>
      <c r="T233" s="40">
        <v>10.18</v>
      </c>
      <c r="U233" s="40">
        <v>0.67</v>
      </c>
      <c r="V233" s="21">
        <v>1500</v>
      </c>
      <c r="W233" s="21">
        <v>756.94899999999996</v>
      </c>
      <c r="X233" s="32">
        <v>82.51</v>
      </c>
    </row>
    <row r="234" spans="17:24" x14ac:dyDescent="0.25">
      <c r="Q234" s="19" t="s">
        <v>256</v>
      </c>
      <c r="R234" s="20">
        <v>45408</v>
      </c>
      <c r="S234" s="40">
        <v>903.548</v>
      </c>
      <c r="T234" s="40">
        <v>10.18</v>
      </c>
      <c r="U234" s="40">
        <v>0.67</v>
      </c>
      <c r="V234" s="21">
        <v>2015</v>
      </c>
      <c r="W234" s="21">
        <v>801.07100000000003</v>
      </c>
      <c r="X234" s="32">
        <v>86.239000000000004</v>
      </c>
    </row>
    <row r="235" spans="17:24" x14ac:dyDescent="0.25">
      <c r="Q235" s="19" t="s">
        <v>256</v>
      </c>
      <c r="R235" s="20">
        <v>45408</v>
      </c>
      <c r="S235" s="40">
        <v>903.548</v>
      </c>
      <c r="T235" s="40">
        <v>10.18</v>
      </c>
      <c r="U235" s="40">
        <v>0.67</v>
      </c>
      <c r="V235" s="21">
        <v>2065</v>
      </c>
      <c r="W235" s="21">
        <v>806.73900000000003</v>
      </c>
      <c r="X235" s="32">
        <v>86.888000000000005</v>
      </c>
    </row>
    <row r="236" spans="17:24" ht="16.5" thickBot="1" x14ac:dyDescent="0.3">
      <c r="Q236" s="24" t="s">
        <v>256</v>
      </c>
      <c r="R236" s="25">
        <v>45408</v>
      </c>
      <c r="S236" s="41">
        <v>903.548</v>
      </c>
      <c r="T236" s="41">
        <v>10.18</v>
      </c>
      <c r="U236" s="41">
        <v>0.67</v>
      </c>
      <c r="V236" s="26">
        <v>2115</v>
      </c>
      <c r="W236" s="26">
        <v>810.93499999999995</v>
      </c>
      <c r="X236" s="33">
        <v>87.293999999999997</v>
      </c>
    </row>
    <row r="237" spans="17:24" x14ac:dyDescent="0.25">
      <c r="Q237" s="14" t="s">
        <v>321</v>
      </c>
      <c r="R237" s="15">
        <v>45361</v>
      </c>
      <c r="S237" s="39">
        <v>807.95600000000002</v>
      </c>
      <c r="T237" s="39">
        <v>7.2</v>
      </c>
      <c r="U237" s="39">
        <v>0.96</v>
      </c>
      <c r="V237" s="16">
        <v>0</v>
      </c>
      <c r="W237" s="16">
        <v>608.33299999999997</v>
      </c>
      <c r="X237" s="35">
        <v>19.966999999999999</v>
      </c>
    </row>
    <row r="238" spans="17:24" x14ac:dyDescent="0.25">
      <c r="Q238" s="19" t="s">
        <v>321</v>
      </c>
      <c r="R238" s="20">
        <v>45361</v>
      </c>
      <c r="S238" s="40">
        <v>807.95600000000002</v>
      </c>
      <c r="T238" s="40">
        <v>7.2</v>
      </c>
      <c r="U238" s="40">
        <v>0.96</v>
      </c>
      <c r="V238" s="21">
        <v>1000</v>
      </c>
      <c r="W238" s="21">
        <v>690.52800000000002</v>
      </c>
      <c r="X238" s="32">
        <v>77.222999999999999</v>
      </c>
    </row>
    <row r="239" spans="17:24" x14ac:dyDescent="0.25">
      <c r="Q239" s="19" t="s">
        <v>321</v>
      </c>
      <c r="R239" s="20">
        <v>45361</v>
      </c>
      <c r="S239" s="40">
        <v>807.95600000000002</v>
      </c>
      <c r="T239" s="40">
        <v>7.2</v>
      </c>
      <c r="U239" s="40">
        <v>0.96</v>
      </c>
      <c r="V239" s="21">
        <v>2015</v>
      </c>
      <c r="W239" s="21">
        <v>774.28899999999999</v>
      </c>
      <c r="X239" s="32">
        <v>85.022999999999996</v>
      </c>
    </row>
    <row r="240" spans="17:24" x14ac:dyDescent="0.25">
      <c r="Q240" s="19" t="s">
        <v>321</v>
      </c>
      <c r="R240" s="20">
        <v>45361</v>
      </c>
      <c r="S240" s="40">
        <v>807.95600000000002</v>
      </c>
      <c r="T240" s="40">
        <v>7.2</v>
      </c>
      <c r="U240" s="40">
        <v>0.96</v>
      </c>
      <c r="V240" s="21">
        <v>2065</v>
      </c>
      <c r="W240" s="21">
        <v>779.35599999999999</v>
      </c>
      <c r="X240" s="32">
        <v>85.322999999999993</v>
      </c>
    </row>
    <row r="241" spans="17:24" x14ac:dyDescent="0.25">
      <c r="Q241" s="19" t="s">
        <v>321</v>
      </c>
      <c r="R241" s="20">
        <v>45361</v>
      </c>
      <c r="S241" s="40">
        <v>807.95600000000002</v>
      </c>
      <c r="T241" s="40">
        <v>7.2</v>
      </c>
      <c r="U241" s="40">
        <v>0.96</v>
      </c>
      <c r="V241" s="21">
        <v>2115</v>
      </c>
      <c r="W241" s="21">
        <v>787.22299999999996</v>
      </c>
      <c r="X241" s="32">
        <v>85.784999999999997</v>
      </c>
    </row>
    <row r="242" spans="17:24" x14ac:dyDescent="0.25">
      <c r="Q242" s="19" t="s">
        <v>321</v>
      </c>
      <c r="R242" s="20">
        <v>45361</v>
      </c>
      <c r="S242" s="40">
        <v>512.98699999999997</v>
      </c>
      <c r="T242" s="40">
        <v>4.8</v>
      </c>
      <c r="U242" s="40">
        <v>0.66</v>
      </c>
      <c r="V242" s="21">
        <v>2115</v>
      </c>
      <c r="W242" s="21">
        <v>901.82100000000003</v>
      </c>
      <c r="X242" s="32">
        <v>87.983000000000004</v>
      </c>
    </row>
    <row r="243" spans="17:24" x14ac:dyDescent="0.25">
      <c r="Q243" s="19" t="s">
        <v>321</v>
      </c>
      <c r="R243" s="20">
        <v>45361</v>
      </c>
      <c r="S243" s="40">
        <v>512.98699999999997</v>
      </c>
      <c r="T243" s="40">
        <v>4.8</v>
      </c>
      <c r="U243" s="40">
        <v>0.66</v>
      </c>
      <c r="V243" s="21">
        <v>2065</v>
      </c>
      <c r="W243" s="21">
        <v>898.07100000000003</v>
      </c>
      <c r="X243" s="32">
        <v>87.66</v>
      </c>
    </row>
    <row r="244" spans="17:24" x14ac:dyDescent="0.25">
      <c r="Q244" s="19" t="s">
        <v>321</v>
      </c>
      <c r="R244" s="20">
        <v>45361</v>
      </c>
      <c r="S244" s="40">
        <v>512.98699999999997</v>
      </c>
      <c r="T244" s="40">
        <v>4.8</v>
      </c>
      <c r="U244" s="40">
        <v>0.66</v>
      </c>
      <c r="V244" s="21">
        <v>2015</v>
      </c>
      <c r="W244" s="21">
        <v>894.07500000000005</v>
      </c>
      <c r="X244" s="32">
        <v>87.259</v>
      </c>
    </row>
    <row r="245" spans="17:24" x14ac:dyDescent="0.25">
      <c r="Q245" s="19" t="s">
        <v>321</v>
      </c>
      <c r="R245" s="20">
        <v>45361</v>
      </c>
      <c r="S245" s="40">
        <v>512.98699999999997</v>
      </c>
      <c r="T245" s="40">
        <v>4.8</v>
      </c>
      <c r="U245" s="40">
        <v>0.66</v>
      </c>
      <c r="V245" s="21">
        <v>1000</v>
      </c>
      <c r="W245" s="21">
        <v>821.68200000000002</v>
      </c>
      <c r="X245" s="32">
        <v>78.501999999999995</v>
      </c>
    </row>
    <row r="246" spans="17:24" ht="16.5" thickBot="1" x14ac:dyDescent="0.3">
      <c r="Q246" s="24" t="s">
        <v>321</v>
      </c>
      <c r="R246" s="25">
        <v>45361</v>
      </c>
      <c r="S246" s="41">
        <v>512.98699999999997</v>
      </c>
      <c r="T246" s="41">
        <v>4.8</v>
      </c>
      <c r="U246" s="41">
        <v>0.66</v>
      </c>
      <c r="V246" s="26">
        <v>0</v>
      </c>
      <c r="W246" s="26">
        <v>756.02700000000004</v>
      </c>
      <c r="X246" s="33">
        <v>51.008000000000003</v>
      </c>
    </row>
    <row r="247" spans="17:24" x14ac:dyDescent="0.25">
      <c r="Q247" s="14" t="s">
        <v>112</v>
      </c>
      <c r="R247" s="15">
        <v>45494</v>
      </c>
      <c r="S247" s="39">
        <v>1041.8948886000001</v>
      </c>
      <c r="T247" s="39">
        <v>13.247999999999996</v>
      </c>
      <c r="U247" s="39">
        <v>0.76799999999999979</v>
      </c>
      <c r="V247" s="16">
        <v>0</v>
      </c>
      <c r="W247" s="16">
        <v>657.75900000000001</v>
      </c>
      <c r="X247" s="35">
        <v>48.125999999999998</v>
      </c>
    </row>
    <row r="248" spans="17:24" x14ac:dyDescent="0.25">
      <c r="Q248" s="19" t="s">
        <v>112</v>
      </c>
      <c r="R248" s="20">
        <v>45494</v>
      </c>
      <c r="S248" s="40">
        <v>1041.8948886000001</v>
      </c>
      <c r="T248" s="40">
        <v>13.247999999999996</v>
      </c>
      <c r="U248" s="40">
        <v>0.76799999999999979</v>
      </c>
      <c r="V248" s="21">
        <v>500</v>
      </c>
      <c r="W248" s="21">
        <v>711.72199999999998</v>
      </c>
      <c r="X248" s="32">
        <v>72.626000000000005</v>
      </c>
    </row>
    <row r="249" spans="17:24" x14ac:dyDescent="0.25">
      <c r="Q249" s="19" t="s">
        <v>112</v>
      </c>
      <c r="R249" s="20">
        <v>45494</v>
      </c>
      <c r="S249" s="40">
        <v>1041.8948886000001</v>
      </c>
      <c r="T249" s="40">
        <v>13.247999999999996</v>
      </c>
      <c r="U249" s="40">
        <v>0.76799999999999979</v>
      </c>
      <c r="V249" s="21">
        <v>1000</v>
      </c>
      <c r="W249" s="21">
        <v>763.721</v>
      </c>
      <c r="X249" s="32">
        <v>77.974999999999994</v>
      </c>
    </row>
    <row r="250" spans="17:24" x14ac:dyDescent="0.25">
      <c r="Q250" s="19" t="s">
        <v>112</v>
      </c>
      <c r="R250" s="20">
        <v>45494</v>
      </c>
      <c r="S250" s="40">
        <v>1041.8948886000001</v>
      </c>
      <c r="T250" s="40">
        <v>13.247999999999996</v>
      </c>
      <c r="U250" s="40">
        <v>0.76799999999999979</v>
      </c>
      <c r="V250" s="21">
        <v>1500</v>
      </c>
      <c r="W250" s="21">
        <v>814.745</v>
      </c>
      <c r="X250" s="32">
        <v>82.55</v>
      </c>
    </row>
    <row r="251" spans="17:24" x14ac:dyDescent="0.25">
      <c r="Q251" s="19" t="s">
        <v>112</v>
      </c>
      <c r="R251" s="20">
        <v>45494</v>
      </c>
      <c r="S251" s="40">
        <v>1041.8948886000001</v>
      </c>
      <c r="T251" s="40">
        <v>13.247999999999996</v>
      </c>
      <c r="U251" s="40">
        <v>0.76799999999999979</v>
      </c>
      <c r="V251" s="21">
        <v>2005</v>
      </c>
      <c r="W251" s="21">
        <v>865.01199999999994</v>
      </c>
      <c r="X251" s="32">
        <v>86.206999999999994</v>
      </c>
    </row>
    <row r="252" spans="17:24" x14ac:dyDescent="0.25">
      <c r="Q252" s="19" t="s">
        <v>112</v>
      </c>
      <c r="R252" s="20">
        <v>45494</v>
      </c>
      <c r="S252" s="40">
        <v>1041.8948886000001</v>
      </c>
      <c r="T252" s="40">
        <v>13.247999999999996</v>
      </c>
      <c r="U252" s="40">
        <v>0.76799999999999979</v>
      </c>
      <c r="V252" s="21">
        <v>2055</v>
      </c>
      <c r="W252" s="21">
        <v>871.72900000000004</v>
      </c>
      <c r="X252" s="32">
        <v>86.698999999999998</v>
      </c>
    </row>
    <row r="253" spans="17:24" ht="16.5" thickBot="1" x14ac:dyDescent="0.3">
      <c r="Q253" s="24" t="s">
        <v>112</v>
      </c>
      <c r="R253" s="25">
        <v>45494</v>
      </c>
      <c r="S253" s="41">
        <v>1041.8948886000001</v>
      </c>
      <c r="T253" s="41">
        <v>13.247999999999996</v>
      </c>
      <c r="U253" s="41">
        <v>0.76799999999999979</v>
      </c>
      <c r="V253" s="26">
        <v>2105</v>
      </c>
      <c r="W253" s="26">
        <v>876.48800000000006</v>
      </c>
      <c r="X253" s="33">
        <v>87.028999999999996</v>
      </c>
    </row>
    <row r="254" spans="17:24" x14ac:dyDescent="0.25">
      <c r="Q254" s="14" t="s">
        <v>245</v>
      </c>
      <c r="R254" s="15">
        <v>45340</v>
      </c>
      <c r="S254" s="39">
        <v>579.904</v>
      </c>
      <c r="T254" s="39">
        <v>5.84</v>
      </c>
      <c r="U254" s="39">
        <v>0.48</v>
      </c>
      <c r="V254" s="16">
        <v>0</v>
      </c>
      <c r="W254" s="16">
        <v>631.51</v>
      </c>
      <c r="X254" s="35">
        <v>24.1</v>
      </c>
    </row>
    <row r="255" spans="17:24" x14ac:dyDescent="0.25">
      <c r="Q255" s="19" t="s">
        <v>245</v>
      </c>
      <c r="R255" s="20">
        <v>45340</v>
      </c>
      <c r="S255" s="40">
        <v>579.904</v>
      </c>
      <c r="T255" s="40">
        <v>5.84</v>
      </c>
      <c r="U255" s="40">
        <v>0.48</v>
      </c>
      <c r="V255" s="21">
        <v>1000</v>
      </c>
      <c r="W255" s="21">
        <v>701.9</v>
      </c>
      <c r="X255" s="32">
        <v>72.7</v>
      </c>
    </row>
    <row r="256" spans="17:24" x14ac:dyDescent="0.25">
      <c r="Q256" s="19" t="s">
        <v>245</v>
      </c>
      <c r="R256" s="20">
        <v>45340</v>
      </c>
      <c r="S256" s="40">
        <v>579.904</v>
      </c>
      <c r="T256" s="40">
        <v>5.84</v>
      </c>
      <c r="U256" s="40">
        <v>0.48</v>
      </c>
      <c r="V256" s="21">
        <v>2020</v>
      </c>
      <c r="W256" s="21">
        <v>791.12</v>
      </c>
      <c r="X256" s="32">
        <v>84.4</v>
      </c>
    </row>
    <row r="257" spans="17:24" x14ac:dyDescent="0.25">
      <c r="Q257" s="19" t="s">
        <v>245</v>
      </c>
      <c r="R257" s="20">
        <v>45340</v>
      </c>
      <c r="S257" s="40">
        <v>579.904</v>
      </c>
      <c r="T257" s="40">
        <v>5.84</v>
      </c>
      <c r="U257" s="40">
        <v>0.48</v>
      </c>
      <c r="V257" s="21">
        <v>2070</v>
      </c>
      <c r="W257" s="21">
        <v>785.48</v>
      </c>
      <c r="X257" s="32">
        <v>84.7</v>
      </c>
    </row>
    <row r="258" spans="17:24" x14ac:dyDescent="0.25">
      <c r="Q258" s="19" t="s">
        <v>245</v>
      </c>
      <c r="R258" s="20">
        <v>45341</v>
      </c>
      <c r="S258" s="40">
        <v>451.59500000000003</v>
      </c>
      <c r="T258" s="40">
        <v>4.34</v>
      </c>
      <c r="U258" s="40">
        <v>0.32</v>
      </c>
      <c r="V258" s="21">
        <v>0</v>
      </c>
      <c r="W258" s="21">
        <v>714.62</v>
      </c>
      <c r="X258" s="32">
        <v>22.3</v>
      </c>
    </row>
    <row r="259" spans="17:24" x14ac:dyDescent="0.25">
      <c r="Q259" s="19" t="s">
        <v>245</v>
      </c>
      <c r="R259" s="20">
        <v>45341</v>
      </c>
      <c r="S259" s="40">
        <v>451.59500000000003</v>
      </c>
      <c r="T259" s="40">
        <v>4.34</v>
      </c>
      <c r="U259" s="40">
        <v>0.32</v>
      </c>
      <c r="V259" s="21">
        <v>1000</v>
      </c>
      <c r="W259" s="21">
        <v>786.73</v>
      </c>
      <c r="X259" s="32">
        <v>73</v>
      </c>
    </row>
    <row r="260" spans="17:24" x14ac:dyDescent="0.25">
      <c r="Q260" s="19" t="s">
        <v>245</v>
      </c>
      <c r="R260" s="20">
        <v>45341</v>
      </c>
      <c r="S260" s="40">
        <v>451.59500000000003</v>
      </c>
      <c r="T260" s="40">
        <v>4.34</v>
      </c>
      <c r="U260" s="40">
        <v>0.32</v>
      </c>
      <c r="V260" s="21">
        <v>1970</v>
      </c>
      <c r="W260" s="21">
        <v>853.42</v>
      </c>
      <c r="X260" s="32">
        <v>84.4</v>
      </c>
    </row>
    <row r="261" spans="17:24" x14ac:dyDescent="0.25">
      <c r="Q261" s="19" t="s">
        <v>245</v>
      </c>
      <c r="R261" s="20">
        <v>45341</v>
      </c>
      <c r="S261" s="40">
        <v>451.59500000000003</v>
      </c>
      <c r="T261" s="40">
        <v>4.34</v>
      </c>
      <c r="U261" s="40">
        <v>0.32</v>
      </c>
      <c r="V261" s="21">
        <v>2020</v>
      </c>
      <c r="W261" s="21">
        <v>856.89</v>
      </c>
      <c r="X261" s="32">
        <v>85.4</v>
      </c>
    </row>
    <row r="262" spans="17:24" x14ac:dyDescent="0.25">
      <c r="Q262" s="19" t="s">
        <v>245</v>
      </c>
      <c r="R262" s="20">
        <v>45341</v>
      </c>
      <c r="S262" s="40">
        <v>451.59500000000003</v>
      </c>
      <c r="T262" s="40">
        <v>4.34</v>
      </c>
      <c r="U262" s="40">
        <v>0.32</v>
      </c>
      <c r="V262" s="21">
        <v>2070</v>
      </c>
      <c r="W262" s="21">
        <v>864.17</v>
      </c>
      <c r="X262" s="32">
        <v>86.2</v>
      </c>
    </row>
    <row r="263" spans="17:24" x14ac:dyDescent="0.25">
      <c r="Q263" s="19" t="s">
        <v>245</v>
      </c>
      <c r="R263" s="20">
        <v>45341</v>
      </c>
      <c r="S263" s="40">
        <v>342.90499999999997</v>
      </c>
      <c r="T263" s="40">
        <v>2.92</v>
      </c>
      <c r="U263" s="40">
        <v>0.24</v>
      </c>
      <c r="V263" s="21">
        <v>2070</v>
      </c>
      <c r="W263" s="21">
        <v>913.7</v>
      </c>
      <c r="X263" s="32">
        <v>87.1</v>
      </c>
    </row>
    <row r="264" spans="17:24" x14ac:dyDescent="0.25">
      <c r="Q264" s="19" t="s">
        <v>245</v>
      </c>
      <c r="R264" s="20">
        <v>45341</v>
      </c>
      <c r="S264" s="40">
        <v>342.90499999999997</v>
      </c>
      <c r="T264" s="40">
        <v>2.92</v>
      </c>
      <c r="U264" s="40">
        <v>0.24</v>
      </c>
      <c r="V264" s="21">
        <v>2020</v>
      </c>
      <c r="W264" s="21">
        <v>908.63</v>
      </c>
      <c r="X264" s="32">
        <v>86.6</v>
      </c>
    </row>
    <row r="265" spans="17:24" x14ac:dyDescent="0.25">
      <c r="Q265" s="19" t="s">
        <v>245</v>
      </c>
      <c r="R265" s="20">
        <v>45341</v>
      </c>
      <c r="S265" s="40">
        <v>342.90499999999997</v>
      </c>
      <c r="T265" s="40">
        <v>2.92</v>
      </c>
      <c r="U265" s="40">
        <v>0.24</v>
      </c>
      <c r="V265" s="21">
        <v>1970</v>
      </c>
      <c r="W265" s="21">
        <v>905.22</v>
      </c>
      <c r="X265" s="32">
        <v>86.2</v>
      </c>
    </row>
    <row r="266" spans="17:24" x14ac:dyDescent="0.25">
      <c r="Q266" s="19" t="s">
        <v>245</v>
      </c>
      <c r="R266" s="20">
        <v>45341</v>
      </c>
      <c r="S266" s="40">
        <v>342.90499999999997</v>
      </c>
      <c r="T266" s="40">
        <v>2.92</v>
      </c>
      <c r="U266" s="40">
        <v>0.24</v>
      </c>
      <c r="V266" s="21">
        <v>1000</v>
      </c>
      <c r="W266" s="21">
        <v>839.61</v>
      </c>
      <c r="X266" s="32">
        <v>77.7</v>
      </c>
    </row>
    <row r="267" spans="17:24" ht="16.5" thickBot="1" x14ac:dyDescent="0.3">
      <c r="Q267" s="24" t="s">
        <v>245</v>
      </c>
      <c r="R267" s="25">
        <v>45341</v>
      </c>
      <c r="S267" s="41">
        <v>342.90499999999997</v>
      </c>
      <c r="T267" s="41">
        <v>2.92</v>
      </c>
      <c r="U267" s="41">
        <v>0.24</v>
      </c>
      <c r="V267" s="26">
        <v>0</v>
      </c>
      <c r="W267" s="26">
        <v>778.22</v>
      </c>
      <c r="X267" s="33">
        <v>49.1</v>
      </c>
    </row>
    <row r="268" spans="17:24" x14ac:dyDescent="0.25">
      <c r="Q268" s="14" t="s">
        <v>194</v>
      </c>
      <c r="R268" s="15">
        <v>45370</v>
      </c>
      <c r="S268" s="39">
        <v>876.38</v>
      </c>
      <c r="T268" s="39">
        <v>8.16</v>
      </c>
      <c r="U268" s="39">
        <v>0.84</v>
      </c>
      <c r="V268" s="16">
        <v>0</v>
      </c>
      <c r="W268" s="16">
        <v>659.32799999999997</v>
      </c>
      <c r="X268" s="35">
        <v>28.655999999999999</v>
      </c>
    </row>
    <row r="269" spans="17:24" x14ac:dyDescent="0.25">
      <c r="Q269" s="19" t="s">
        <v>194</v>
      </c>
      <c r="R269" s="20">
        <v>45370</v>
      </c>
      <c r="S269" s="40">
        <v>876.38</v>
      </c>
      <c r="T269" s="40">
        <v>8.16</v>
      </c>
      <c r="U269" s="40">
        <v>0.84</v>
      </c>
      <c r="V269" s="21">
        <v>1000</v>
      </c>
      <c r="W269" s="21">
        <v>750.20699999999999</v>
      </c>
      <c r="X269" s="32">
        <v>67.057000000000002</v>
      </c>
    </row>
    <row r="270" spans="17:24" x14ac:dyDescent="0.25">
      <c r="Q270" s="19" t="s">
        <v>194</v>
      </c>
      <c r="R270" s="20">
        <v>45370</v>
      </c>
      <c r="S270" s="40">
        <v>876.38</v>
      </c>
      <c r="T270" s="40">
        <v>8.16</v>
      </c>
      <c r="U270" s="40">
        <v>0.84</v>
      </c>
      <c r="V270" s="21">
        <v>1500</v>
      </c>
      <c r="W270" s="21">
        <v>796.61800000000005</v>
      </c>
      <c r="X270" s="32">
        <v>77.710999999999999</v>
      </c>
    </row>
    <row r="271" spans="17:24" x14ac:dyDescent="0.25">
      <c r="Q271" s="19" t="s">
        <v>194</v>
      </c>
      <c r="R271" s="20">
        <v>45370</v>
      </c>
      <c r="S271" s="40">
        <v>876.38</v>
      </c>
      <c r="T271" s="40">
        <v>8.16</v>
      </c>
      <c r="U271" s="40">
        <v>0.84</v>
      </c>
      <c r="V271" s="21">
        <v>2000</v>
      </c>
      <c r="W271" s="21">
        <v>841.24199999999996</v>
      </c>
      <c r="X271" s="32">
        <v>82.623000000000005</v>
      </c>
    </row>
    <row r="272" spans="17:24" ht="16.5" thickBot="1" x14ac:dyDescent="0.3">
      <c r="Q272" s="19" t="s">
        <v>194</v>
      </c>
      <c r="R272" s="20">
        <v>45370</v>
      </c>
      <c r="S272" s="40">
        <v>876.38</v>
      </c>
      <c r="T272" s="40">
        <v>8.16</v>
      </c>
      <c r="U272" s="40">
        <v>0.84</v>
      </c>
      <c r="V272" s="21">
        <v>2100</v>
      </c>
      <c r="W272" s="21">
        <v>852.63499999999999</v>
      </c>
      <c r="X272" s="32">
        <v>86.682000000000002</v>
      </c>
    </row>
    <row r="273" spans="17:24" x14ac:dyDescent="0.25">
      <c r="Q273" s="14" t="s">
        <v>246</v>
      </c>
      <c r="R273" s="15">
        <v>45403</v>
      </c>
      <c r="S273" s="39">
        <v>980.0002552499999</v>
      </c>
      <c r="T273" s="39">
        <v>3.4800000000000009</v>
      </c>
      <c r="U273" s="39">
        <v>0.78000000000000025</v>
      </c>
      <c r="V273" s="16">
        <v>0</v>
      </c>
      <c r="W273" s="16">
        <v>654.66600000000005</v>
      </c>
      <c r="X273" s="35">
        <v>23.574999999999999</v>
      </c>
    </row>
    <row r="274" spans="17:24" x14ac:dyDescent="0.25">
      <c r="Q274" s="19" t="s">
        <v>246</v>
      </c>
      <c r="R274" s="20">
        <v>45403</v>
      </c>
      <c r="S274" s="40">
        <v>980.0002552499999</v>
      </c>
      <c r="T274" s="40">
        <v>3.4800000000000009</v>
      </c>
      <c r="U274" s="40">
        <v>0.78000000000000025</v>
      </c>
      <c r="V274" s="21">
        <v>500</v>
      </c>
      <c r="W274" s="21">
        <v>704.98099999999999</v>
      </c>
      <c r="X274" s="32">
        <v>73.274000000000001</v>
      </c>
    </row>
    <row r="275" spans="17:24" x14ac:dyDescent="0.25">
      <c r="Q275" s="19" t="s">
        <v>246</v>
      </c>
      <c r="R275" s="20">
        <v>45403</v>
      </c>
      <c r="S275" s="40">
        <v>980.0002552499999</v>
      </c>
      <c r="T275" s="40">
        <v>3.4800000000000009</v>
      </c>
      <c r="U275" s="40">
        <v>0.78000000000000025</v>
      </c>
      <c r="V275" s="21">
        <v>1000</v>
      </c>
      <c r="W275" s="21">
        <v>751.47199999999998</v>
      </c>
      <c r="X275" s="32">
        <v>78.808999999999997</v>
      </c>
    </row>
    <row r="276" spans="17:24" x14ac:dyDescent="0.25">
      <c r="Q276" s="19" t="s">
        <v>246</v>
      </c>
      <c r="R276" s="20">
        <v>45403</v>
      </c>
      <c r="S276" s="40">
        <v>980.0002552499999</v>
      </c>
      <c r="T276" s="40">
        <v>3.4800000000000009</v>
      </c>
      <c r="U276" s="40">
        <v>0.78000000000000025</v>
      </c>
      <c r="V276" s="21">
        <v>1500</v>
      </c>
      <c r="W276" s="21">
        <v>797.11400000000003</v>
      </c>
      <c r="X276" s="32">
        <v>83.033000000000001</v>
      </c>
    </row>
    <row r="277" spans="17:24" x14ac:dyDescent="0.25">
      <c r="Q277" s="19" t="s">
        <v>246</v>
      </c>
      <c r="R277" s="20">
        <v>45403</v>
      </c>
      <c r="S277" s="40">
        <v>980.0002552499999</v>
      </c>
      <c r="T277" s="40">
        <v>3.4800000000000009</v>
      </c>
      <c r="U277" s="40">
        <v>0.78000000000000025</v>
      </c>
      <c r="V277" s="21">
        <v>2000</v>
      </c>
      <c r="W277" s="21">
        <v>841.22500000000002</v>
      </c>
      <c r="X277" s="32">
        <v>86.433999999999997</v>
      </c>
    </row>
    <row r="278" spans="17:24" x14ac:dyDescent="0.25">
      <c r="Q278" s="19" t="s">
        <v>246</v>
      </c>
      <c r="R278" s="20">
        <v>45403</v>
      </c>
      <c r="S278" s="40">
        <v>980.0002552499999</v>
      </c>
      <c r="T278" s="40">
        <v>3.4800000000000009</v>
      </c>
      <c r="U278" s="40">
        <v>0.78000000000000025</v>
      </c>
      <c r="V278" s="21">
        <v>2050</v>
      </c>
      <c r="W278" s="21">
        <v>846.28399999999999</v>
      </c>
      <c r="X278" s="32">
        <v>86.947000000000003</v>
      </c>
    </row>
    <row r="279" spans="17:24" ht="16.5" thickBot="1" x14ac:dyDescent="0.3">
      <c r="Q279" s="24" t="s">
        <v>246</v>
      </c>
      <c r="R279" s="25">
        <v>45403</v>
      </c>
      <c r="S279" s="41">
        <v>980.0002552499999</v>
      </c>
      <c r="T279" s="41">
        <v>3.4800000000000009</v>
      </c>
      <c r="U279" s="41">
        <v>0.78000000000000025</v>
      </c>
      <c r="V279" s="26">
        <v>2100</v>
      </c>
      <c r="W279" s="26">
        <v>850.78399999999999</v>
      </c>
      <c r="X279" s="33">
        <v>87.290999999999997</v>
      </c>
    </row>
    <row r="280" spans="17:24" x14ac:dyDescent="0.25">
      <c r="Q280" s="14" t="s">
        <v>94</v>
      </c>
      <c r="R280" s="15">
        <v>45454</v>
      </c>
      <c r="S280" s="39">
        <v>927.50315239999998</v>
      </c>
      <c r="T280" s="39">
        <v>4.9920000000000018</v>
      </c>
      <c r="U280" s="39">
        <v>0.57600000000000018</v>
      </c>
      <c r="V280" s="16">
        <v>0</v>
      </c>
      <c r="W280" s="16">
        <v>622.846</v>
      </c>
      <c r="X280" s="35">
        <v>36.204000000000001</v>
      </c>
    </row>
    <row r="281" spans="17:24" x14ac:dyDescent="0.25">
      <c r="Q281" s="19" t="s">
        <v>94</v>
      </c>
      <c r="R281" s="20">
        <v>45454</v>
      </c>
      <c r="S281" s="40">
        <v>927.50315239999998</v>
      </c>
      <c r="T281" s="40">
        <v>4.9920000000000018</v>
      </c>
      <c r="U281" s="40">
        <v>0.57600000000000018</v>
      </c>
      <c r="V281" s="21">
        <v>500</v>
      </c>
      <c r="W281" s="21">
        <v>671.64200000000005</v>
      </c>
      <c r="X281" s="32">
        <v>72.391999999999996</v>
      </c>
    </row>
    <row r="282" spans="17:24" x14ac:dyDescent="0.25">
      <c r="Q282" s="19" t="s">
        <v>94</v>
      </c>
      <c r="R282" s="20">
        <v>45454</v>
      </c>
      <c r="S282" s="40">
        <v>927.50315239999998</v>
      </c>
      <c r="T282" s="40">
        <v>4.9920000000000018</v>
      </c>
      <c r="U282" s="40">
        <v>0.57600000000000018</v>
      </c>
      <c r="V282" s="21">
        <v>1000</v>
      </c>
      <c r="W282" s="21">
        <v>717.76900000000001</v>
      </c>
      <c r="X282" s="32">
        <v>78.248999999999995</v>
      </c>
    </row>
    <row r="283" spans="17:24" x14ac:dyDescent="0.25">
      <c r="Q283" s="19" t="s">
        <v>94</v>
      </c>
      <c r="R283" s="20">
        <v>45454</v>
      </c>
      <c r="S283" s="40">
        <v>927.50315239999998</v>
      </c>
      <c r="T283" s="40">
        <v>4.9920000000000018</v>
      </c>
      <c r="U283" s="40">
        <v>0.57600000000000018</v>
      </c>
      <c r="V283" s="21">
        <v>1500</v>
      </c>
      <c r="W283" s="21">
        <v>763.27300000000002</v>
      </c>
      <c r="X283" s="32">
        <v>82.738</v>
      </c>
    </row>
    <row r="284" spans="17:24" x14ac:dyDescent="0.25">
      <c r="Q284" s="19" t="s">
        <v>94</v>
      </c>
      <c r="R284" s="20">
        <v>45454</v>
      </c>
      <c r="S284" s="40">
        <v>927.50315239999998</v>
      </c>
      <c r="T284" s="40">
        <v>4.9920000000000018</v>
      </c>
      <c r="U284" s="40">
        <v>0.57600000000000018</v>
      </c>
      <c r="V284" s="21">
        <v>1980</v>
      </c>
      <c r="W284" s="21">
        <v>805.71100000000001</v>
      </c>
      <c r="X284" s="32">
        <v>85.941999999999993</v>
      </c>
    </row>
    <row r="285" spans="17:24" ht="16.5" thickBot="1" x14ac:dyDescent="0.3">
      <c r="Q285" s="19" t="s">
        <v>94</v>
      </c>
      <c r="R285" s="20">
        <v>45454</v>
      </c>
      <c r="S285" s="40">
        <v>927.50315239999998</v>
      </c>
      <c r="T285" s="40">
        <v>4.9920000000000018</v>
      </c>
      <c r="U285" s="40">
        <v>0.57600000000000018</v>
      </c>
      <c r="V285" s="21">
        <v>2030</v>
      </c>
      <c r="W285" s="21">
        <v>811.64</v>
      </c>
      <c r="X285" s="32">
        <v>86.397000000000006</v>
      </c>
    </row>
    <row r="286" spans="17:24" x14ac:dyDescent="0.25">
      <c r="Q286" s="14" t="s">
        <v>244</v>
      </c>
      <c r="R286" s="15">
        <v>45380</v>
      </c>
      <c r="S286" s="39">
        <v>948.23599999999999</v>
      </c>
      <c r="T286" s="39">
        <v>10.199999999999999</v>
      </c>
      <c r="U286" s="39">
        <v>0.96</v>
      </c>
      <c r="V286" s="16">
        <v>0</v>
      </c>
      <c r="W286" s="16">
        <v>650.82000000000005</v>
      </c>
      <c r="X286" s="35">
        <v>26.1</v>
      </c>
    </row>
    <row r="287" spans="17:24" x14ac:dyDescent="0.25">
      <c r="Q287" s="19" t="s">
        <v>244</v>
      </c>
      <c r="R287" s="20">
        <v>45380</v>
      </c>
      <c r="S287" s="40">
        <v>948.23599999999999</v>
      </c>
      <c r="T287" s="40">
        <v>10.199999999999999</v>
      </c>
      <c r="U287" s="40">
        <v>0.96</v>
      </c>
      <c r="V287" s="21">
        <v>500</v>
      </c>
      <c r="W287" s="21">
        <v>698.49</v>
      </c>
      <c r="X287" s="32">
        <v>72.900000000000006</v>
      </c>
    </row>
    <row r="288" spans="17:24" x14ac:dyDescent="0.25">
      <c r="Q288" s="19" t="s">
        <v>244</v>
      </c>
      <c r="R288" s="20">
        <v>45380</v>
      </c>
      <c r="S288" s="40">
        <v>948.23599999999999</v>
      </c>
      <c r="T288" s="40">
        <v>10.199999999999999</v>
      </c>
      <c r="U288" s="40">
        <v>0.96</v>
      </c>
      <c r="V288" s="21">
        <v>1000</v>
      </c>
      <c r="W288" s="21">
        <v>744.19</v>
      </c>
      <c r="X288" s="32">
        <v>78.900000000000006</v>
      </c>
    </row>
    <row r="289" spans="17:24" x14ac:dyDescent="0.25">
      <c r="Q289" s="19" t="s">
        <v>244</v>
      </c>
      <c r="R289" s="20">
        <v>45380</v>
      </c>
      <c r="S289" s="40">
        <v>948.23599999999999</v>
      </c>
      <c r="T289" s="40">
        <v>10.199999999999999</v>
      </c>
      <c r="U289" s="40">
        <v>0.96</v>
      </c>
      <c r="V289" s="21">
        <v>1500</v>
      </c>
      <c r="W289" s="21">
        <v>789.48</v>
      </c>
      <c r="X289" s="32">
        <v>83.4</v>
      </c>
    </row>
    <row r="290" spans="17:24" x14ac:dyDescent="0.25">
      <c r="Q290" s="19" t="s">
        <v>244</v>
      </c>
      <c r="R290" s="20">
        <v>45380</v>
      </c>
      <c r="S290" s="40">
        <v>948.23599999999999</v>
      </c>
      <c r="T290" s="40">
        <v>10.199999999999999</v>
      </c>
      <c r="U290" s="40">
        <v>0.96</v>
      </c>
      <c r="V290" s="21">
        <v>2000</v>
      </c>
      <c r="W290" s="21">
        <v>833.99</v>
      </c>
      <c r="X290" s="32">
        <v>86.8</v>
      </c>
    </row>
    <row r="291" spans="17:24" ht="16.5" thickBot="1" x14ac:dyDescent="0.3">
      <c r="Q291" s="19" t="s">
        <v>244</v>
      </c>
      <c r="R291" s="20">
        <v>45380</v>
      </c>
      <c r="S291" s="40">
        <v>948.23599999999999</v>
      </c>
      <c r="T291" s="40">
        <v>10.199999999999999</v>
      </c>
      <c r="U291" s="40">
        <v>0.96</v>
      </c>
      <c r="V291" s="21">
        <v>2110</v>
      </c>
      <c r="W291" s="21">
        <v>845.83</v>
      </c>
      <c r="X291" s="32">
        <v>87.6</v>
      </c>
    </row>
    <row r="292" spans="17:24" x14ac:dyDescent="0.25">
      <c r="Q292" s="14" t="s">
        <v>165</v>
      </c>
      <c r="R292" s="15">
        <v>45430</v>
      </c>
      <c r="S292" s="39">
        <v>522.29499999999996</v>
      </c>
      <c r="T292" s="39">
        <v>9.16</v>
      </c>
      <c r="U292" s="39">
        <v>0.67</v>
      </c>
      <c r="V292" s="16">
        <v>0</v>
      </c>
      <c r="W292" s="16">
        <v>511.17399999999998</v>
      </c>
      <c r="X292" s="35">
        <v>24.97</v>
      </c>
    </row>
    <row r="293" spans="17:24" x14ac:dyDescent="0.25">
      <c r="Q293" s="19" t="s">
        <v>165</v>
      </c>
      <c r="R293" s="20">
        <v>45430</v>
      </c>
      <c r="S293" s="40">
        <v>522.29499999999996</v>
      </c>
      <c r="T293" s="40">
        <v>9.16</v>
      </c>
      <c r="U293" s="40">
        <v>0.67</v>
      </c>
      <c r="V293" s="21">
        <v>500</v>
      </c>
      <c r="W293" s="21">
        <v>582.38900000000001</v>
      </c>
      <c r="X293" s="32">
        <v>68.44</v>
      </c>
    </row>
    <row r="294" spans="17:24" x14ac:dyDescent="0.25">
      <c r="Q294" s="19" t="s">
        <v>165</v>
      </c>
      <c r="R294" s="20">
        <v>45430</v>
      </c>
      <c r="S294" s="40">
        <v>522.29499999999996</v>
      </c>
      <c r="T294" s="40">
        <v>9.16</v>
      </c>
      <c r="U294" s="40">
        <v>0.67</v>
      </c>
      <c r="V294" s="21">
        <v>1000</v>
      </c>
      <c r="W294" s="21">
        <v>653.29100000000005</v>
      </c>
      <c r="X294" s="32">
        <v>77.400999999999996</v>
      </c>
    </row>
    <row r="295" spans="17:24" x14ac:dyDescent="0.25">
      <c r="Q295" s="19" t="s">
        <v>165</v>
      </c>
      <c r="R295" s="20">
        <v>45430</v>
      </c>
      <c r="S295" s="40">
        <v>522.29499999999996</v>
      </c>
      <c r="T295" s="40">
        <v>9.16</v>
      </c>
      <c r="U295" s="40">
        <v>0.67</v>
      </c>
      <c r="V295" s="21">
        <v>1500</v>
      </c>
      <c r="W295" s="21">
        <v>720.41800000000001</v>
      </c>
      <c r="X295" s="32">
        <v>82.475999999999999</v>
      </c>
    </row>
    <row r="296" spans="17:24" x14ac:dyDescent="0.25">
      <c r="Q296" s="19" t="s">
        <v>165</v>
      </c>
      <c r="R296" s="20">
        <v>45430</v>
      </c>
      <c r="S296" s="40">
        <v>522.29499999999996</v>
      </c>
      <c r="T296" s="40">
        <v>9.16</v>
      </c>
      <c r="U296" s="40">
        <v>0.67</v>
      </c>
      <c r="V296" s="21">
        <v>1985</v>
      </c>
      <c r="W296" s="21">
        <v>781.90700000000004</v>
      </c>
      <c r="X296" s="32">
        <v>86.21</v>
      </c>
    </row>
    <row r="297" spans="17:24" x14ac:dyDescent="0.25">
      <c r="Q297" s="19" t="s">
        <v>165</v>
      </c>
      <c r="R297" s="20">
        <v>45430</v>
      </c>
      <c r="S297" s="40">
        <v>522.29499999999996</v>
      </c>
      <c r="T297" s="40">
        <v>9.16</v>
      </c>
      <c r="U297" s="40">
        <v>0.67</v>
      </c>
      <c r="V297" s="21">
        <v>2035</v>
      </c>
      <c r="W297" s="21">
        <v>790.00900000000001</v>
      </c>
      <c r="X297" s="32">
        <v>86.713999999999999</v>
      </c>
    </row>
    <row r="298" spans="17:24" ht="16.5" thickBot="1" x14ac:dyDescent="0.3">
      <c r="Q298" s="24" t="s">
        <v>165</v>
      </c>
      <c r="R298" s="25">
        <v>45430</v>
      </c>
      <c r="S298" s="41">
        <v>522.29499999999996</v>
      </c>
      <c r="T298" s="41">
        <v>9.16</v>
      </c>
      <c r="U298" s="41">
        <v>0.67</v>
      </c>
      <c r="V298" s="26">
        <v>2085</v>
      </c>
      <c r="W298" s="26">
        <v>793.55</v>
      </c>
      <c r="X298" s="33">
        <v>87.087999999999994</v>
      </c>
    </row>
    <row r="299" spans="17:24" x14ac:dyDescent="0.25">
      <c r="Q299" s="14" t="s">
        <v>113</v>
      </c>
      <c r="R299" s="15">
        <v>45406</v>
      </c>
      <c r="S299" s="39">
        <v>1056.6428954</v>
      </c>
      <c r="T299" s="39">
        <v>11.059199999999997</v>
      </c>
      <c r="U299" s="39">
        <v>1.1999999999999997</v>
      </c>
      <c r="V299" s="16">
        <v>0</v>
      </c>
      <c r="W299" s="16">
        <v>658.30899999999997</v>
      </c>
      <c r="X299" s="35">
        <v>27.093</v>
      </c>
    </row>
    <row r="300" spans="17:24" x14ac:dyDescent="0.25">
      <c r="Q300" s="19" t="s">
        <v>113</v>
      </c>
      <c r="R300" s="20">
        <v>45406</v>
      </c>
      <c r="S300" s="40">
        <v>1056.6428954</v>
      </c>
      <c r="T300" s="40">
        <v>11.059199999999997</v>
      </c>
      <c r="U300" s="40">
        <v>1.1999999999999997</v>
      </c>
      <c r="V300" s="21">
        <v>500</v>
      </c>
      <c r="W300" s="21">
        <v>711.14400000000001</v>
      </c>
      <c r="X300" s="32">
        <v>72.061999999999998</v>
      </c>
    </row>
    <row r="301" spans="17:24" x14ac:dyDescent="0.25">
      <c r="Q301" s="19" t="s">
        <v>113</v>
      </c>
      <c r="R301" s="20">
        <v>45406</v>
      </c>
      <c r="S301" s="40">
        <v>1056.6428954</v>
      </c>
      <c r="T301" s="40">
        <v>11.059199999999997</v>
      </c>
      <c r="U301" s="40">
        <v>1.1999999999999997</v>
      </c>
      <c r="V301" s="21">
        <v>1000</v>
      </c>
      <c r="W301" s="21">
        <v>763.23</v>
      </c>
      <c r="X301" s="32">
        <v>79.456000000000003</v>
      </c>
    </row>
    <row r="302" spans="17:24" x14ac:dyDescent="0.25">
      <c r="Q302" s="19" t="s">
        <v>113</v>
      </c>
      <c r="R302" s="20">
        <v>45406</v>
      </c>
      <c r="S302" s="40">
        <v>1056.6428954</v>
      </c>
      <c r="T302" s="40">
        <v>11.059199999999997</v>
      </c>
      <c r="U302" s="40">
        <v>1.1999999999999997</v>
      </c>
      <c r="V302" s="21">
        <v>1500</v>
      </c>
      <c r="W302" s="21">
        <v>815.13</v>
      </c>
      <c r="X302" s="32">
        <v>84.236000000000004</v>
      </c>
    </row>
    <row r="303" spans="17:24" x14ac:dyDescent="0.25">
      <c r="Q303" s="19" t="s">
        <v>113</v>
      </c>
      <c r="R303" s="20">
        <v>45406</v>
      </c>
      <c r="S303" s="40">
        <v>1056.6428954</v>
      </c>
      <c r="T303" s="40">
        <v>11.059199999999997</v>
      </c>
      <c r="U303" s="40">
        <v>1.1999999999999997</v>
      </c>
      <c r="V303" s="21">
        <v>2010</v>
      </c>
      <c r="W303" s="21">
        <v>866.553</v>
      </c>
      <c r="X303" s="32">
        <v>87.778000000000006</v>
      </c>
    </row>
    <row r="304" spans="17:24" x14ac:dyDescent="0.25">
      <c r="Q304" s="19" t="s">
        <v>113</v>
      </c>
      <c r="R304" s="20">
        <v>45406</v>
      </c>
      <c r="S304" s="40">
        <v>1056.6428954</v>
      </c>
      <c r="T304" s="40">
        <v>11.059199999999997</v>
      </c>
      <c r="U304" s="40">
        <v>1.1999999999999997</v>
      </c>
      <c r="V304" s="21">
        <v>2060</v>
      </c>
      <c r="W304" s="21">
        <v>872.74300000000005</v>
      </c>
      <c r="X304" s="32">
        <v>88.536000000000001</v>
      </c>
    </row>
    <row r="305" spans="17:24" ht="16.5" thickBot="1" x14ac:dyDescent="0.3">
      <c r="Q305" s="24" t="s">
        <v>113</v>
      </c>
      <c r="R305" s="25">
        <v>45406</v>
      </c>
      <c r="S305" s="41">
        <v>1056.6428954</v>
      </c>
      <c r="T305" s="41">
        <v>11.059199999999997</v>
      </c>
      <c r="U305" s="41">
        <v>1.1999999999999997</v>
      </c>
      <c r="V305" s="26">
        <v>2110</v>
      </c>
      <c r="W305" s="26">
        <v>878.303</v>
      </c>
      <c r="X305" s="33">
        <v>89.028999999999996</v>
      </c>
    </row>
    <row r="306" spans="17:24" x14ac:dyDescent="0.25">
      <c r="Q306" s="14" t="s">
        <v>140</v>
      </c>
      <c r="R306" s="15">
        <v>45317</v>
      </c>
      <c r="S306" s="39">
        <v>411.41300000000001</v>
      </c>
      <c r="T306" s="39">
        <v>4.3600000000000003</v>
      </c>
      <c r="U306" s="39">
        <v>0</v>
      </c>
      <c r="V306" s="16">
        <v>2030</v>
      </c>
      <c r="W306" s="16">
        <v>669.41</v>
      </c>
      <c r="X306" s="35">
        <v>83.4</v>
      </c>
    </row>
    <row r="307" spans="17:24" x14ac:dyDescent="0.25">
      <c r="Q307" s="19" t="s">
        <v>140</v>
      </c>
      <c r="R307" s="20">
        <v>45317</v>
      </c>
      <c r="S307" s="40">
        <v>411.41300000000001</v>
      </c>
      <c r="T307" s="40">
        <v>4.3600000000000003</v>
      </c>
      <c r="U307" s="40">
        <v>0</v>
      </c>
      <c r="V307" s="21">
        <v>2000</v>
      </c>
      <c r="W307" s="21">
        <v>667.44</v>
      </c>
      <c r="X307" s="32">
        <v>83.3</v>
      </c>
    </row>
    <row r="308" spans="17:24" x14ac:dyDescent="0.25">
      <c r="Q308" s="19" t="s">
        <v>140</v>
      </c>
      <c r="R308" s="20">
        <v>45317</v>
      </c>
      <c r="S308" s="40">
        <v>411.41300000000001</v>
      </c>
      <c r="T308" s="40">
        <v>4.3600000000000003</v>
      </c>
      <c r="U308" s="40">
        <v>0</v>
      </c>
      <c r="V308" s="21">
        <v>1975</v>
      </c>
      <c r="W308" s="21">
        <v>666.33</v>
      </c>
      <c r="X308" s="32">
        <v>83.2</v>
      </c>
    </row>
    <row r="309" spans="17:24" x14ac:dyDescent="0.25">
      <c r="Q309" s="19" t="s">
        <v>140</v>
      </c>
      <c r="R309" s="20">
        <v>45317</v>
      </c>
      <c r="S309" s="40">
        <v>411.41300000000001</v>
      </c>
      <c r="T309" s="40">
        <v>4.3600000000000003</v>
      </c>
      <c r="U309" s="40">
        <v>0</v>
      </c>
      <c r="V309" s="21">
        <v>1950</v>
      </c>
      <c r="W309" s="21">
        <v>665.05</v>
      </c>
      <c r="X309" s="32">
        <v>83.1</v>
      </c>
    </row>
    <row r="310" spans="17:24" x14ac:dyDescent="0.25">
      <c r="Q310" s="19" t="s">
        <v>140</v>
      </c>
      <c r="R310" s="20">
        <v>45317</v>
      </c>
      <c r="S310" s="40">
        <v>411.41300000000001</v>
      </c>
      <c r="T310" s="40">
        <v>4.3600000000000003</v>
      </c>
      <c r="U310" s="40">
        <v>0</v>
      </c>
      <c r="V310" s="21">
        <v>1925</v>
      </c>
      <c r="W310" s="21">
        <v>663.48</v>
      </c>
      <c r="X310" s="32">
        <v>82.9</v>
      </c>
    </row>
    <row r="311" spans="17:24" x14ac:dyDescent="0.25">
      <c r="Q311" s="19" t="s">
        <v>140</v>
      </c>
      <c r="R311" s="20">
        <v>45317</v>
      </c>
      <c r="S311" s="40">
        <v>411.41300000000001</v>
      </c>
      <c r="T311" s="40">
        <v>4.3600000000000003</v>
      </c>
      <c r="U311" s="40">
        <v>0</v>
      </c>
      <c r="V311" s="21">
        <v>0</v>
      </c>
      <c r="W311" s="21">
        <v>556.04999999999995</v>
      </c>
      <c r="X311" s="32">
        <v>57.6</v>
      </c>
    </row>
    <row r="312" spans="17:24" x14ac:dyDescent="0.25">
      <c r="Q312" s="19" t="s">
        <v>140</v>
      </c>
      <c r="R312" s="20">
        <v>45318</v>
      </c>
      <c r="S312" s="40">
        <v>307.69400000000002</v>
      </c>
      <c r="T312" s="40">
        <v>3.63</v>
      </c>
      <c r="U312" s="40">
        <v>0</v>
      </c>
      <c r="V312" s="21">
        <v>0</v>
      </c>
      <c r="W312" s="21">
        <v>678.52</v>
      </c>
      <c r="X312" s="32">
        <v>31.7</v>
      </c>
    </row>
    <row r="313" spans="17:24" x14ac:dyDescent="0.25">
      <c r="Q313" s="19" t="s">
        <v>140</v>
      </c>
      <c r="R313" s="20">
        <v>45318</v>
      </c>
      <c r="S313" s="40">
        <v>307.69400000000002</v>
      </c>
      <c r="T313" s="40">
        <v>3.63</v>
      </c>
      <c r="U313" s="40">
        <v>0</v>
      </c>
      <c r="V313" s="21">
        <v>1925</v>
      </c>
      <c r="W313" s="21">
        <v>800.02</v>
      </c>
      <c r="X313" s="32">
        <v>84.3</v>
      </c>
    </row>
    <row r="314" spans="17:24" x14ac:dyDescent="0.25">
      <c r="Q314" s="19" t="s">
        <v>140</v>
      </c>
      <c r="R314" s="20">
        <v>45318</v>
      </c>
      <c r="S314" s="40">
        <v>307.69400000000002</v>
      </c>
      <c r="T314" s="40">
        <v>3.63</v>
      </c>
      <c r="U314" s="40">
        <v>0</v>
      </c>
      <c r="V314" s="21">
        <v>1950</v>
      </c>
      <c r="W314" s="21">
        <v>802.02</v>
      </c>
      <c r="X314" s="32">
        <v>85</v>
      </c>
    </row>
    <row r="315" spans="17:24" x14ac:dyDescent="0.25">
      <c r="Q315" s="19" t="s">
        <v>140</v>
      </c>
      <c r="R315" s="20">
        <v>45318</v>
      </c>
      <c r="S315" s="40">
        <v>307.69400000000002</v>
      </c>
      <c r="T315" s="40">
        <v>3.63</v>
      </c>
      <c r="U315" s="40">
        <v>0</v>
      </c>
      <c r="V315" s="21">
        <v>1975</v>
      </c>
      <c r="W315" s="21">
        <v>803.72</v>
      </c>
      <c r="X315" s="32">
        <v>85.3</v>
      </c>
    </row>
    <row r="316" spans="17:24" x14ac:dyDescent="0.25">
      <c r="Q316" s="19" t="s">
        <v>140</v>
      </c>
      <c r="R316" s="20">
        <v>45318</v>
      </c>
      <c r="S316" s="40">
        <v>307.69400000000002</v>
      </c>
      <c r="T316" s="40">
        <v>3.63</v>
      </c>
      <c r="U316" s="40">
        <v>0</v>
      </c>
      <c r="V316" s="21">
        <v>2000</v>
      </c>
      <c r="W316" s="21">
        <v>805.43</v>
      </c>
      <c r="X316" s="32">
        <v>85.5</v>
      </c>
    </row>
    <row r="317" spans="17:24" x14ac:dyDescent="0.25">
      <c r="Q317" s="19" t="s">
        <v>140</v>
      </c>
      <c r="R317" s="20">
        <v>45318</v>
      </c>
      <c r="S317" s="40">
        <v>307.69400000000002</v>
      </c>
      <c r="T317" s="40">
        <v>3.63</v>
      </c>
      <c r="U317" s="40">
        <v>0</v>
      </c>
      <c r="V317" s="21">
        <v>2030</v>
      </c>
      <c r="W317" s="21">
        <v>809.35</v>
      </c>
      <c r="X317" s="32">
        <v>86</v>
      </c>
    </row>
    <row r="318" spans="17:24" x14ac:dyDescent="0.25">
      <c r="Q318" s="19" t="s">
        <v>140</v>
      </c>
      <c r="R318" s="20">
        <v>45318</v>
      </c>
      <c r="S318" s="40">
        <v>204.89</v>
      </c>
      <c r="T318" s="40">
        <v>2.78</v>
      </c>
      <c r="U318" s="40">
        <v>0</v>
      </c>
      <c r="V318" s="21">
        <v>2030</v>
      </c>
      <c r="W318" s="21">
        <v>885.47</v>
      </c>
      <c r="X318" s="32">
        <v>87.2</v>
      </c>
    </row>
    <row r="319" spans="17:24" x14ac:dyDescent="0.25">
      <c r="Q319" s="19" t="s">
        <v>140</v>
      </c>
      <c r="R319" s="20">
        <v>45318</v>
      </c>
      <c r="S319" s="40">
        <v>204.89</v>
      </c>
      <c r="T319" s="40">
        <v>2.78</v>
      </c>
      <c r="U319" s="40">
        <v>0</v>
      </c>
      <c r="V319" s="21">
        <v>2000</v>
      </c>
      <c r="W319" s="21">
        <v>881.77</v>
      </c>
      <c r="X319" s="32">
        <v>85.9</v>
      </c>
    </row>
    <row r="320" spans="17:24" x14ac:dyDescent="0.25">
      <c r="Q320" s="19" t="s">
        <v>140</v>
      </c>
      <c r="R320" s="20">
        <v>45318</v>
      </c>
      <c r="S320" s="40">
        <v>204.89</v>
      </c>
      <c r="T320" s="40">
        <v>2.78</v>
      </c>
      <c r="U320" s="40">
        <v>0</v>
      </c>
      <c r="V320" s="21">
        <v>1975</v>
      </c>
      <c r="W320" s="21">
        <v>878.51</v>
      </c>
      <c r="X320" s="32">
        <v>85.3</v>
      </c>
    </row>
    <row r="321" spans="17:24" x14ac:dyDescent="0.25">
      <c r="Q321" s="19" t="s">
        <v>140</v>
      </c>
      <c r="R321" s="20">
        <v>45318</v>
      </c>
      <c r="S321" s="40">
        <v>204.89</v>
      </c>
      <c r="T321" s="40">
        <v>2.78</v>
      </c>
      <c r="U321" s="40">
        <v>0</v>
      </c>
      <c r="V321" s="21">
        <v>1950</v>
      </c>
      <c r="W321" s="21">
        <v>876.63</v>
      </c>
      <c r="X321" s="32">
        <v>85</v>
      </c>
    </row>
    <row r="322" spans="17:24" x14ac:dyDescent="0.25">
      <c r="Q322" s="19" t="s">
        <v>140</v>
      </c>
      <c r="R322" s="20">
        <v>45318</v>
      </c>
      <c r="S322" s="40">
        <v>204.89</v>
      </c>
      <c r="T322" s="40">
        <v>2.78</v>
      </c>
      <c r="U322" s="40">
        <v>0</v>
      </c>
      <c r="V322" s="21">
        <v>1925</v>
      </c>
      <c r="W322" s="21">
        <v>874.84</v>
      </c>
      <c r="X322" s="32">
        <v>84.8</v>
      </c>
    </row>
    <row r="323" spans="17:24" ht="16.5" thickBot="1" x14ac:dyDescent="0.3">
      <c r="Q323" s="19" t="s">
        <v>140</v>
      </c>
      <c r="R323" s="20">
        <v>45318</v>
      </c>
      <c r="S323" s="40">
        <v>204.89</v>
      </c>
      <c r="T323" s="40">
        <v>2.78</v>
      </c>
      <c r="U323" s="40">
        <v>0</v>
      </c>
      <c r="V323" s="21">
        <v>0</v>
      </c>
      <c r="W323" s="21">
        <v>751.01</v>
      </c>
      <c r="X323" s="32">
        <v>55.8</v>
      </c>
    </row>
    <row r="324" spans="17:24" x14ac:dyDescent="0.25">
      <c r="Q324" s="14" t="s">
        <v>183</v>
      </c>
      <c r="R324" s="15">
        <v>45365</v>
      </c>
      <c r="S324" s="39">
        <v>903.13400000000001</v>
      </c>
      <c r="T324" s="39">
        <v>7.2</v>
      </c>
      <c r="U324" s="39">
        <v>0.96</v>
      </c>
      <c r="V324" s="16">
        <v>0</v>
      </c>
      <c r="W324" s="16">
        <v>635.71839999999997</v>
      </c>
      <c r="X324" s="35">
        <v>32.65</v>
      </c>
    </row>
    <row r="325" spans="17:24" x14ac:dyDescent="0.25">
      <c r="Q325" s="19" t="s">
        <v>183</v>
      </c>
      <c r="R325" s="20">
        <v>45365</v>
      </c>
      <c r="S325" s="40">
        <v>903.13400000000001</v>
      </c>
      <c r="T325" s="40">
        <v>7.2</v>
      </c>
      <c r="U325" s="40">
        <v>0.96</v>
      </c>
      <c r="V325" s="21">
        <v>1000</v>
      </c>
      <c r="W325" s="21">
        <v>726.86540000000002</v>
      </c>
      <c r="X325" s="32">
        <v>73.716000000000008</v>
      </c>
    </row>
    <row r="326" spans="17:24" x14ac:dyDescent="0.25">
      <c r="Q326" s="19" t="s">
        <v>183</v>
      </c>
      <c r="R326" s="20">
        <v>45365</v>
      </c>
      <c r="S326" s="40">
        <v>903.13400000000001</v>
      </c>
      <c r="T326" s="40">
        <v>7.2</v>
      </c>
      <c r="U326" s="40">
        <v>0.96</v>
      </c>
      <c r="V326" s="21">
        <v>2005</v>
      </c>
      <c r="W326" s="21">
        <v>816.23099999999999</v>
      </c>
      <c r="X326" s="32">
        <v>82.368000000000009</v>
      </c>
    </row>
    <row r="327" spans="17:24" x14ac:dyDescent="0.25">
      <c r="Q327" s="19" t="s">
        <v>183</v>
      </c>
      <c r="R327" s="20">
        <v>45365</v>
      </c>
      <c r="S327" s="40">
        <v>903.13400000000001</v>
      </c>
      <c r="T327" s="40">
        <v>7.2</v>
      </c>
      <c r="U327" s="40">
        <v>0.96</v>
      </c>
      <c r="V327" s="21">
        <v>2055</v>
      </c>
      <c r="W327" s="21">
        <v>822.78</v>
      </c>
      <c r="X327" s="32">
        <v>83.713000000000008</v>
      </c>
    </row>
    <row r="328" spans="17:24" x14ac:dyDescent="0.25">
      <c r="Q328" s="19" t="s">
        <v>183</v>
      </c>
      <c r="R328" s="20">
        <v>45365</v>
      </c>
      <c r="S328" s="40">
        <v>903.13400000000001</v>
      </c>
      <c r="T328" s="40">
        <v>7.2</v>
      </c>
      <c r="U328" s="40">
        <v>0.96</v>
      </c>
      <c r="V328" s="21">
        <v>2105</v>
      </c>
      <c r="W328" s="21">
        <v>826.303</v>
      </c>
      <c r="X328" s="32">
        <v>86.766999999999996</v>
      </c>
    </row>
    <row r="329" spans="17:24" x14ac:dyDescent="0.25">
      <c r="Q329" s="19" t="s">
        <v>183</v>
      </c>
      <c r="R329" s="20">
        <v>45365</v>
      </c>
      <c r="S329" s="40">
        <v>546.86800000000005</v>
      </c>
      <c r="T329" s="40">
        <v>3.36</v>
      </c>
      <c r="U329" s="40">
        <v>0.64</v>
      </c>
      <c r="V329" s="21">
        <v>2105</v>
      </c>
      <c r="W329" s="21">
        <v>914.16600000000005</v>
      </c>
      <c r="X329" s="32">
        <v>88.460999999999999</v>
      </c>
    </row>
    <row r="330" spans="17:24" x14ac:dyDescent="0.25">
      <c r="Q330" s="19" t="s">
        <v>183</v>
      </c>
      <c r="R330" s="20">
        <v>45365</v>
      </c>
      <c r="S330" s="40">
        <v>546.86800000000005</v>
      </c>
      <c r="T330" s="40">
        <v>3.36</v>
      </c>
      <c r="U330" s="40">
        <v>0.64</v>
      </c>
      <c r="V330" s="21">
        <v>2055</v>
      </c>
      <c r="W330" s="21">
        <v>910.76300000000003</v>
      </c>
      <c r="X330" s="32">
        <v>88.438000000000002</v>
      </c>
    </row>
    <row r="331" spans="17:24" x14ac:dyDescent="0.25">
      <c r="Q331" s="19" t="s">
        <v>183</v>
      </c>
      <c r="R331" s="20">
        <v>45365</v>
      </c>
      <c r="S331" s="40">
        <v>546.86800000000005</v>
      </c>
      <c r="T331" s="40">
        <v>3.36</v>
      </c>
      <c r="U331" s="40">
        <v>0.64</v>
      </c>
      <c r="V331" s="21">
        <v>2005</v>
      </c>
      <c r="W331" s="21">
        <v>906.64599999999996</v>
      </c>
      <c r="X331" s="32">
        <v>88.325000000000003</v>
      </c>
    </row>
    <row r="332" spans="17:24" x14ac:dyDescent="0.25">
      <c r="Q332" s="19" t="s">
        <v>183</v>
      </c>
      <c r="R332" s="20">
        <v>45365</v>
      </c>
      <c r="S332" s="40">
        <v>546.86800000000005</v>
      </c>
      <c r="T332" s="40">
        <v>3.36</v>
      </c>
      <c r="U332" s="40">
        <v>0.64</v>
      </c>
      <c r="V332" s="21">
        <v>1000</v>
      </c>
      <c r="W332" s="21">
        <v>835.00199999999995</v>
      </c>
      <c r="X332" s="32">
        <v>85.435000000000002</v>
      </c>
    </row>
    <row r="333" spans="17:24" ht="16.5" thickBot="1" x14ac:dyDescent="0.3">
      <c r="Q333" s="19" t="s">
        <v>183</v>
      </c>
      <c r="R333" s="20">
        <v>45365</v>
      </c>
      <c r="S333" s="40">
        <v>546.86800000000005</v>
      </c>
      <c r="T333" s="40">
        <v>3.36</v>
      </c>
      <c r="U333" s="40">
        <v>0.64</v>
      </c>
      <c r="V333" s="21">
        <v>0</v>
      </c>
      <c r="W333" s="21">
        <v>764.99699999999996</v>
      </c>
      <c r="X333" s="32">
        <v>74.966999999999999</v>
      </c>
    </row>
    <row r="334" spans="17:24" x14ac:dyDescent="0.25">
      <c r="Q334" s="14" t="s">
        <v>241</v>
      </c>
      <c r="R334" s="15">
        <v>45265</v>
      </c>
      <c r="S334" s="39">
        <v>75.075999999999993</v>
      </c>
      <c r="T334" s="39">
        <v>1.1000000000000001</v>
      </c>
      <c r="U334" s="39">
        <v>0</v>
      </c>
      <c r="V334" s="16">
        <v>2045</v>
      </c>
      <c r="W334" s="16">
        <v>926.51</v>
      </c>
      <c r="X334" s="35">
        <v>85.1</v>
      </c>
    </row>
    <row r="335" spans="17:24" x14ac:dyDescent="0.25">
      <c r="Q335" s="19" t="s">
        <v>241</v>
      </c>
      <c r="R335" s="20">
        <v>45265</v>
      </c>
      <c r="S335" s="40">
        <v>75.075999999999993</v>
      </c>
      <c r="T335" s="40">
        <v>1.1000000000000001</v>
      </c>
      <c r="U335" s="40">
        <v>0</v>
      </c>
      <c r="V335" s="21">
        <v>2000</v>
      </c>
      <c r="W335" s="21">
        <v>925.45</v>
      </c>
      <c r="X335" s="32">
        <v>84.9</v>
      </c>
    </row>
    <row r="336" spans="17:24" x14ac:dyDescent="0.25">
      <c r="Q336" s="19" t="s">
        <v>241</v>
      </c>
      <c r="R336" s="20">
        <v>45265</v>
      </c>
      <c r="S336" s="40">
        <v>75.075999999999993</v>
      </c>
      <c r="T336" s="40">
        <v>1.1000000000000001</v>
      </c>
      <c r="U336" s="40">
        <v>0</v>
      </c>
      <c r="V336" s="21">
        <v>1950</v>
      </c>
      <c r="W336" s="21">
        <v>921.91</v>
      </c>
      <c r="X336" s="32">
        <v>84.7</v>
      </c>
    </row>
    <row r="337" spans="17:24" x14ac:dyDescent="0.25">
      <c r="Q337" s="19" t="s">
        <v>241</v>
      </c>
      <c r="R337" s="20">
        <v>45265</v>
      </c>
      <c r="S337" s="40">
        <v>75.075999999999993</v>
      </c>
      <c r="T337" s="40">
        <v>1.1000000000000001</v>
      </c>
      <c r="U337" s="40">
        <v>0</v>
      </c>
      <c r="V337" s="21">
        <v>1900</v>
      </c>
      <c r="W337" s="21">
        <v>918.39</v>
      </c>
      <c r="X337" s="32">
        <v>84.5</v>
      </c>
    </row>
    <row r="338" spans="17:24" x14ac:dyDescent="0.25">
      <c r="Q338" s="19" t="s">
        <v>241</v>
      </c>
      <c r="R338" s="20">
        <v>45265</v>
      </c>
      <c r="S338" s="40">
        <v>75.075999999999993</v>
      </c>
      <c r="T338" s="40">
        <v>1.1000000000000001</v>
      </c>
      <c r="U338" s="40">
        <v>0</v>
      </c>
      <c r="V338" s="21">
        <v>1000</v>
      </c>
      <c r="W338" s="21">
        <v>859.8</v>
      </c>
      <c r="X338" s="32">
        <v>76.900000000000006</v>
      </c>
    </row>
    <row r="339" spans="17:24" ht="16.5" thickBot="1" x14ac:dyDescent="0.3">
      <c r="Q339" s="19" t="s">
        <v>241</v>
      </c>
      <c r="R339" s="20">
        <v>45265</v>
      </c>
      <c r="S339" s="40">
        <v>75.075999999999993</v>
      </c>
      <c r="T339" s="40">
        <v>1.1000000000000001</v>
      </c>
      <c r="U339" s="40">
        <v>0</v>
      </c>
      <c r="V339" s="21">
        <v>0</v>
      </c>
      <c r="W339" s="21">
        <v>790.86</v>
      </c>
      <c r="X339" s="32">
        <v>50.6</v>
      </c>
    </row>
    <row r="340" spans="17:24" x14ac:dyDescent="0.25">
      <c r="Q340" s="14" t="s">
        <v>155</v>
      </c>
      <c r="R340" s="15">
        <v>45377</v>
      </c>
      <c r="S340" s="39">
        <v>508.41899999999998</v>
      </c>
      <c r="T340" s="39">
        <v>7.8</v>
      </c>
      <c r="U340" s="39">
        <v>0.66</v>
      </c>
      <c r="V340" s="16">
        <v>2125</v>
      </c>
      <c r="W340" s="16">
        <v>747.06899999999996</v>
      </c>
      <c r="X340" s="35">
        <v>85.298000000000002</v>
      </c>
    </row>
    <row r="341" spans="17:24" x14ac:dyDescent="0.25">
      <c r="Q341" s="19" t="s">
        <v>155</v>
      </c>
      <c r="R341" s="20">
        <v>45377</v>
      </c>
      <c r="S341" s="40">
        <v>508.41899999999998</v>
      </c>
      <c r="T341" s="40">
        <v>7.8</v>
      </c>
      <c r="U341" s="40">
        <v>0.66</v>
      </c>
      <c r="V341" s="21">
        <v>2000</v>
      </c>
      <c r="W341" s="21">
        <v>736.76</v>
      </c>
      <c r="X341" s="32">
        <v>84.77</v>
      </c>
    </row>
    <row r="342" spans="17:24" x14ac:dyDescent="0.25">
      <c r="Q342" s="19" t="s">
        <v>155</v>
      </c>
      <c r="R342" s="20">
        <v>45377</v>
      </c>
      <c r="S342" s="40">
        <v>508.41899999999998</v>
      </c>
      <c r="T342" s="40">
        <v>7.8</v>
      </c>
      <c r="U342" s="40">
        <v>0.66</v>
      </c>
      <c r="V342" s="21">
        <v>1500</v>
      </c>
      <c r="W342" s="21">
        <v>699.57</v>
      </c>
      <c r="X342" s="32">
        <v>82.421999999999997</v>
      </c>
    </row>
    <row r="343" spans="17:24" x14ac:dyDescent="0.25">
      <c r="Q343" s="19" t="s">
        <v>155</v>
      </c>
      <c r="R343" s="20">
        <v>45377</v>
      </c>
      <c r="S343" s="40">
        <v>508.41899999999998</v>
      </c>
      <c r="T343" s="40">
        <v>7.8</v>
      </c>
      <c r="U343" s="40">
        <v>0.66</v>
      </c>
      <c r="V343" s="21">
        <v>1000</v>
      </c>
      <c r="W343" s="21">
        <v>662.25</v>
      </c>
      <c r="X343" s="32">
        <v>78.364999999999995</v>
      </c>
    </row>
    <row r="344" spans="17:24" x14ac:dyDescent="0.25">
      <c r="Q344" s="19" t="s">
        <v>155</v>
      </c>
      <c r="R344" s="20">
        <v>45377</v>
      </c>
      <c r="S344" s="40">
        <v>508.41899999999998</v>
      </c>
      <c r="T344" s="40">
        <v>7.8</v>
      </c>
      <c r="U344" s="40">
        <v>0.66</v>
      </c>
      <c r="V344" s="21">
        <v>500</v>
      </c>
      <c r="W344" s="21">
        <v>624.61400000000003</v>
      </c>
      <c r="X344" s="32">
        <v>73.391999999999996</v>
      </c>
    </row>
    <row r="345" spans="17:24" ht="16.5" thickBot="1" x14ac:dyDescent="0.3">
      <c r="Q345" s="19" t="s">
        <v>155</v>
      </c>
      <c r="R345" s="20">
        <v>45377</v>
      </c>
      <c r="S345" s="40">
        <v>508.41899999999998</v>
      </c>
      <c r="T345" s="40">
        <v>7.8</v>
      </c>
      <c r="U345" s="40">
        <v>0.66</v>
      </c>
      <c r="V345" s="21">
        <v>0</v>
      </c>
      <c r="W345" s="21">
        <v>589.04999999999995</v>
      </c>
      <c r="X345" s="32">
        <v>48.917999999999999</v>
      </c>
    </row>
    <row r="346" spans="17:24" x14ac:dyDescent="0.25">
      <c r="Q346" s="14" t="s">
        <v>290</v>
      </c>
      <c r="R346" s="15">
        <v>45405</v>
      </c>
      <c r="S346" s="39">
        <v>990.15324800000008</v>
      </c>
      <c r="T346" s="39">
        <v>6.8159999999999981</v>
      </c>
      <c r="U346" s="39">
        <v>0.76799999999999979</v>
      </c>
      <c r="V346" s="16">
        <v>0</v>
      </c>
      <c r="W346" s="16">
        <v>653.03800000000001</v>
      </c>
      <c r="X346" s="35">
        <v>29.478999999999999</v>
      </c>
    </row>
    <row r="347" spans="17:24" x14ac:dyDescent="0.25">
      <c r="Q347" s="19" t="s">
        <v>290</v>
      </c>
      <c r="R347" s="20">
        <v>45405</v>
      </c>
      <c r="S347" s="40">
        <v>990.15324800000008</v>
      </c>
      <c r="T347" s="40">
        <v>6.8159999999999981</v>
      </c>
      <c r="U347" s="40">
        <v>0.76799999999999979</v>
      </c>
      <c r="V347" s="21">
        <v>500</v>
      </c>
      <c r="W347" s="21">
        <v>703.39700000000005</v>
      </c>
      <c r="X347" s="32">
        <v>72.656999999999996</v>
      </c>
    </row>
    <row r="348" spans="17:24" x14ac:dyDescent="0.25">
      <c r="Q348" s="19" t="s">
        <v>290</v>
      </c>
      <c r="R348" s="20">
        <v>45405</v>
      </c>
      <c r="S348" s="40">
        <v>990.15324800000008</v>
      </c>
      <c r="T348" s="40">
        <v>6.8159999999999981</v>
      </c>
      <c r="U348" s="40">
        <v>0.76799999999999979</v>
      </c>
      <c r="V348" s="21">
        <v>1000</v>
      </c>
      <c r="W348" s="21">
        <v>753.47699999999998</v>
      </c>
      <c r="X348" s="32">
        <v>77.653999999999996</v>
      </c>
    </row>
    <row r="349" spans="17:24" x14ac:dyDescent="0.25">
      <c r="Q349" s="19" t="s">
        <v>290</v>
      </c>
      <c r="R349" s="20">
        <v>45405</v>
      </c>
      <c r="S349" s="40">
        <v>990.15324800000008</v>
      </c>
      <c r="T349" s="40">
        <v>6.8159999999999981</v>
      </c>
      <c r="U349" s="40">
        <v>0.76799999999999979</v>
      </c>
      <c r="V349" s="21">
        <v>1500</v>
      </c>
      <c r="W349" s="21">
        <v>802.55200000000002</v>
      </c>
      <c r="X349" s="32">
        <v>82.108999999999995</v>
      </c>
    </row>
    <row r="350" spans="17:24" x14ac:dyDescent="0.25">
      <c r="Q350" s="19" t="s">
        <v>290</v>
      </c>
      <c r="R350" s="20">
        <v>45405</v>
      </c>
      <c r="S350" s="40">
        <v>990.15324800000008</v>
      </c>
      <c r="T350" s="40">
        <v>6.8159999999999981</v>
      </c>
      <c r="U350" s="40">
        <v>0.76799999999999979</v>
      </c>
      <c r="V350" s="21">
        <v>1995</v>
      </c>
      <c r="W350" s="21">
        <v>846.34299999999996</v>
      </c>
      <c r="X350" s="32">
        <v>85.36</v>
      </c>
    </row>
    <row r="351" spans="17:24" x14ac:dyDescent="0.25">
      <c r="Q351" s="19" t="s">
        <v>290</v>
      </c>
      <c r="R351" s="20">
        <v>45405</v>
      </c>
      <c r="S351" s="40">
        <v>990.15324800000008</v>
      </c>
      <c r="T351" s="40">
        <v>6.8159999999999981</v>
      </c>
      <c r="U351" s="40">
        <v>0.76799999999999979</v>
      </c>
      <c r="V351" s="21">
        <v>2045</v>
      </c>
      <c r="W351" s="21">
        <v>856.29200000000003</v>
      </c>
      <c r="X351" s="32">
        <v>86.037999999999997</v>
      </c>
    </row>
    <row r="352" spans="17:24" ht="16.5" thickBot="1" x14ac:dyDescent="0.3">
      <c r="Q352" s="24" t="s">
        <v>290</v>
      </c>
      <c r="R352" s="25">
        <v>45405</v>
      </c>
      <c r="S352" s="41">
        <v>990.15324800000008</v>
      </c>
      <c r="T352" s="41">
        <v>6.8159999999999981</v>
      </c>
      <c r="U352" s="41">
        <v>0.76799999999999979</v>
      </c>
      <c r="V352" s="26">
        <v>2095</v>
      </c>
      <c r="W352" s="26">
        <v>862.43600000000004</v>
      </c>
      <c r="X352" s="33">
        <v>86.424000000000007</v>
      </c>
    </row>
    <row r="353" spans="17:24" x14ac:dyDescent="0.25">
      <c r="Q353" s="14" t="s">
        <v>242</v>
      </c>
      <c r="R353" s="15">
        <v>45416</v>
      </c>
      <c r="S353" s="39">
        <v>827.73149039999998</v>
      </c>
      <c r="T353" s="39">
        <v>12.383999999999997</v>
      </c>
      <c r="U353" s="39">
        <v>6.0863999999999994</v>
      </c>
      <c r="V353" s="16">
        <v>0</v>
      </c>
      <c r="W353" s="16">
        <v>616.75400000000002</v>
      </c>
      <c r="X353" s="35">
        <v>34.765000000000001</v>
      </c>
    </row>
    <row r="354" spans="17:24" x14ac:dyDescent="0.25">
      <c r="Q354" s="19" t="s">
        <v>242</v>
      </c>
      <c r="R354" s="20">
        <v>45416</v>
      </c>
      <c r="S354" s="40">
        <v>827.73149039999998</v>
      </c>
      <c r="T354" s="40">
        <v>12.383999999999997</v>
      </c>
      <c r="U354" s="40">
        <v>6.0863999999999994</v>
      </c>
      <c r="V354" s="21">
        <v>500</v>
      </c>
      <c r="W354" s="21">
        <v>673.755</v>
      </c>
      <c r="X354" s="32">
        <v>71.134</v>
      </c>
    </row>
    <row r="355" spans="17:24" x14ac:dyDescent="0.25">
      <c r="Q355" s="19" t="s">
        <v>242</v>
      </c>
      <c r="R355" s="20">
        <v>45416</v>
      </c>
      <c r="S355" s="40">
        <v>827.73149039999998</v>
      </c>
      <c r="T355" s="40">
        <v>12.383999999999997</v>
      </c>
      <c r="U355" s="40">
        <v>6.0863999999999994</v>
      </c>
      <c r="V355" s="21">
        <v>1000</v>
      </c>
      <c r="W355" s="21">
        <v>733.38900000000001</v>
      </c>
      <c r="X355" s="32">
        <v>77.742999999999995</v>
      </c>
    </row>
    <row r="356" spans="17:24" x14ac:dyDescent="0.25">
      <c r="Q356" s="19" t="s">
        <v>242</v>
      </c>
      <c r="R356" s="20">
        <v>45416</v>
      </c>
      <c r="S356" s="40">
        <v>827.73149039999998</v>
      </c>
      <c r="T356" s="40">
        <v>12.383999999999997</v>
      </c>
      <c r="U356" s="40">
        <v>6.0863999999999994</v>
      </c>
      <c r="V356" s="21">
        <v>1500</v>
      </c>
      <c r="W356" s="21">
        <v>791.29300000000001</v>
      </c>
      <c r="X356" s="32">
        <v>82.073999999999998</v>
      </c>
    </row>
    <row r="357" spans="17:24" x14ac:dyDescent="0.25">
      <c r="Q357" s="19" t="s">
        <v>242</v>
      </c>
      <c r="R357" s="20">
        <v>45416</v>
      </c>
      <c r="S357" s="40">
        <v>827.73149039999998</v>
      </c>
      <c r="T357" s="40">
        <v>12.383999999999997</v>
      </c>
      <c r="U357" s="40">
        <v>6.0863999999999994</v>
      </c>
      <c r="V357" s="21">
        <v>2015</v>
      </c>
      <c r="W357" s="21">
        <v>850.24</v>
      </c>
      <c r="X357" s="32">
        <v>85.241</v>
      </c>
    </row>
    <row r="358" spans="17:24" x14ac:dyDescent="0.25">
      <c r="Q358" s="19" t="s">
        <v>242</v>
      </c>
      <c r="R358" s="20">
        <v>45416</v>
      </c>
      <c r="S358" s="40">
        <v>827.73149039999998</v>
      </c>
      <c r="T358" s="40">
        <v>12.383999999999997</v>
      </c>
      <c r="U358" s="40">
        <v>6.0863999999999994</v>
      </c>
      <c r="V358" s="21">
        <v>2065</v>
      </c>
      <c r="W358" s="21">
        <v>856.64599999999996</v>
      </c>
      <c r="X358" s="32">
        <v>85.896000000000001</v>
      </c>
    </row>
    <row r="359" spans="17:24" ht="16.5" thickBot="1" x14ac:dyDescent="0.3">
      <c r="Q359" s="24" t="s">
        <v>242</v>
      </c>
      <c r="R359" s="25">
        <v>45416</v>
      </c>
      <c r="S359" s="41">
        <v>827.73149039999998</v>
      </c>
      <c r="T359" s="41">
        <v>12.383999999999997</v>
      </c>
      <c r="U359" s="41">
        <v>6.0863999999999994</v>
      </c>
      <c r="V359" s="26">
        <v>2115</v>
      </c>
      <c r="W359" s="26">
        <v>863.16800000000001</v>
      </c>
      <c r="X359" s="33">
        <v>86.225999999999999</v>
      </c>
    </row>
    <row r="360" spans="17:24" x14ac:dyDescent="0.25">
      <c r="Q360" s="14" t="s">
        <v>157</v>
      </c>
      <c r="R360" s="15">
        <v>45379</v>
      </c>
      <c r="S360" s="39">
        <v>776.39300000000003</v>
      </c>
      <c r="T360" s="39">
        <v>5.04</v>
      </c>
      <c r="U360" s="39">
        <v>0.94</v>
      </c>
      <c r="V360" s="16">
        <v>0</v>
      </c>
      <c r="W360" s="16">
        <v>622.38</v>
      </c>
      <c r="X360" s="35">
        <v>21.9</v>
      </c>
    </row>
    <row r="361" spans="17:24" x14ac:dyDescent="0.25">
      <c r="Q361" s="19" t="s">
        <v>157</v>
      </c>
      <c r="R361" s="20">
        <v>45379</v>
      </c>
      <c r="S361" s="40">
        <v>776.39300000000003</v>
      </c>
      <c r="T361" s="40">
        <v>5.04</v>
      </c>
      <c r="U361" s="40">
        <v>0.94</v>
      </c>
      <c r="V361" s="21">
        <v>500</v>
      </c>
      <c r="W361" s="21">
        <v>665.33</v>
      </c>
      <c r="X361" s="32">
        <v>71.599999999999994</v>
      </c>
    </row>
    <row r="362" spans="17:24" x14ac:dyDescent="0.25">
      <c r="Q362" s="19" t="s">
        <v>157</v>
      </c>
      <c r="R362" s="20">
        <v>45379</v>
      </c>
      <c r="S362" s="40">
        <v>776.39300000000003</v>
      </c>
      <c r="T362" s="40">
        <v>5.04</v>
      </c>
      <c r="U362" s="40">
        <v>0.94</v>
      </c>
      <c r="V362" s="21">
        <v>1000</v>
      </c>
      <c r="W362" s="21">
        <v>706.15</v>
      </c>
      <c r="X362" s="32">
        <v>78</v>
      </c>
    </row>
    <row r="363" spans="17:24" x14ac:dyDescent="0.25">
      <c r="Q363" s="19" t="s">
        <v>157</v>
      </c>
      <c r="R363" s="20">
        <v>45379</v>
      </c>
      <c r="S363" s="40">
        <v>776.39300000000003</v>
      </c>
      <c r="T363" s="40">
        <v>5.04</v>
      </c>
      <c r="U363" s="40">
        <v>0.94</v>
      </c>
      <c r="V363" s="21">
        <v>1500</v>
      </c>
      <c r="W363" s="21">
        <v>745.92</v>
      </c>
      <c r="X363" s="32">
        <v>82.6</v>
      </c>
    </row>
    <row r="364" spans="17:24" x14ac:dyDescent="0.25">
      <c r="Q364" s="19" t="s">
        <v>157</v>
      </c>
      <c r="R364" s="20">
        <v>45379</v>
      </c>
      <c r="S364" s="40">
        <v>776.39300000000003</v>
      </c>
      <c r="T364" s="40">
        <v>5.04</v>
      </c>
      <c r="U364" s="40">
        <v>0.94</v>
      </c>
      <c r="V364" s="21">
        <v>2000</v>
      </c>
      <c r="W364" s="21">
        <v>784.44</v>
      </c>
      <c r="X364" s="32">
        <v>85.7</v>
      </c>
    </row>
    <row r="365" spans="17:24" ht="16.5" thickBot="1" x14ac:dyDescent="0.3">
      <c r="Q365" s="19" t="s">
        <v>157</v>
      </c>
      <c r="R365" s="20">
        <v>45379</v>
      </c>
      <c r="S365" s="40">
        <v>776.39300000000003</v>
      </c>
      <c r="T365" s="40">
        <v>5.04</v>
      </c>
      <c r="U365" s="40">
        <v>0.94</v>
      </c>
      <c r="V365" s="21">
        <v>2100</v>
      </c>
      <c r="W365" s="21">
        <v>791.94</v>
      </c>
      <c r="X365" s="32">
        <v>86.4</v>
      </c>
    </row>
    <row r="366" spans="17:24" x14ac:dyDescent="0.25">
      <c r="Q366" s="14" t="s">
        <v>131</v>
      </c>
      <c r="R366" s="15">
        <v>45349</v>
      </c>
      <c r="S366" s="39">
        <v>466.03899999999999</v>
      </c>
      <c r="T366" s="39">
        <v>7.75</v>
      </c>
      <c r="U366" s="39">
        <v>0.52</v>
      </c>
      <c r="V366" s="16">
        <v>0</v>
      </c>
      <c r="W366" s="16">
        <v>609.83900000000006</v>
      </c>
      <c r="X366" s="35">
        <v>23.064</v>
      </c>
    </row>
    <row r="367" spans="17:24" x14ac:dyDescent="0.25">
      <c r="Q367" s="19" t="s">
        <v>131</v>
      </c>
      <c r="R367" s="20">
        <v>45349</v>
      </c>
      <c r="S367" s="40">
        <v>466.03899999999999</v>
      </c>
      <c r="T367" s="40">
        <v>7.75</v>
      </c>
      <c r="U367" s="40">
        <v>0.52</v>
      </c>
      <c r="V367" s="21">
        <v>1000</v>
      </c>
      <c r="W367" s="21">
        <v>672.45100000000002</v>
      </c>
      <c r="X367" s="32">
        <v>74.540000000000006</v>
      </c>
    </row>
    <row r="368" spans="17:24" x14ac:dyDescent="0.25">
      <c r="Q368" s="19" t="s">
        <v>131</v>
      </c>
      <c r="R368" s="20">
        <v>45349</v>
      </c>
      <c r="S368" s="40">
        <v>466.03899999999999</v>
      </c>
      <c r="T368" s="40">
        <v>7.75</v>
      </c>
      <c r="U368" s="40">
        <v>0.52</v>
      </c>
      <c r="V368" s="21">
        <v>1950</v>
      </c>
      <c r="W368" s="21">
        <v>733.64599999999996</v>
      </c>
      <c r="X368" s="32">
        <v>82.61</v>
      </c>
    </row>
    <row r="369" spans="17:24" x14ac:dyDescent="0.25">
      <c r="Q369" s="19" t="s">
        <v>131</v>
      </c>
      <c r="R369" s="20">
        <v>45349</v>
      </c>
      <c r="S369" s="40">
        <v>466.03899999999999</v>
      </c>
      <c r="T369" s="40">
        <v>7.75</v>
      </c>
      <c r="U369" s="40">
        <v>0.52</v>
      </c>
      <c r="V369" s="21">
        <v>2000</v>
      </c>
      <c r="W369" s="21">
        <v>736.81100000000004</v>
      </c>
      <c r="X369" s="32">
        <v>83.953000000000003</v>
      </c>
    </row>
    <row r="370" spans="17:24" x14ac:dyDescent="0.25">
      <c r="Q370" s="19" t="s">
        <v>131</v>
      </c>
      <c r="R370" s="20">
        <v>45349</v>
      </c>
      <c r="S370" s="40">
        <v>466.03899999999999</v>
      </c>
      <c r="T370" s="40">
        <v>7.75</v>
      </c>
      <c r="U370" s="40">
        <v>0.52</v>
      </c>
      <c r="V370" s="21">
        <v>2050</v>
      </c>
      <c r="W370" s="21">
        <v>741.22299999999996</v>
      </c>
      <c r="X370" s="32">
        <v>84.977999999999994</v>
      </c>
    </row>
    <row r="371" spans="17:24" x14ac:dyDescent="0.25">
      <c r="Q371" s="19" t="s">
        <v>131</v>
      </c>
      <c r="R371" s="20">
        <v>45349</v>
      </c>
      <c r="S371" s="40">
        <v>362.42200000000003</v>
      </c>
      <c r="T371" s="40">
        <v>4.7699999999999996</v>
      </c>
      <c r="U371" s="40">
        <v>0.4</v>
      </c>
      <c r="V371" s="21">
        <v>2050</v>
      </c>
      <c r="W371" s="21">
        <v>831.82600000000002</v>
      </c>
      <c r="X371" s="32">
        <v>86.572000000000003</v>
      </c>
    </row>
    <row r="372" spans="17:24" x14ac:dyDescent="0.25">
      <c r="Q372" s="19" t="s">
        <v>131</v>
      </c>
      <c r="R372" s="20">
        <v>45349</v>
      </c>
      <c r="S372" s="40">
        <v>362.42200000000003</v>
      </c>
      <c r="T372" s="40">
        <v>4.7699999999999996</v>
      </c>
      <c r="U372" s="40">
        <v>0.4</v>
      </c>
      <c r="V372" s="21">
        <v>2000</v>
      </c>
      <c r="W372" s="21">
        <v>828.221</v>
      </c>
      <c r="X372" s="32">
        <v>86.37</v>
      </c>
    </row>
    <row r="373" spans="17:24" x14ac:dyDescent="0.25">
      <c r="Q373" s="19" t="s">
        <v>131</v>
      </c>
      <c r="R373" s="20">
        <v>45349</v>
      </c>
      <c r="S373" s="40">
        <v>362.42200000000003</v>
      </c>
      <c r="T373" s="40">
        <v>4.7699999999999996</v>
      </c>
      <c r="U373" s="40">
        <v>0.4</v>
      </c>
      <c r="V373" s="21">
        <v>1950</v>
      </c>
      <c r="W373" s="21">
        <v>825.27800000000002</v>
      </c>
      <c r="X373" s="32">
        <v>86.135000000000005</v>
      </c>
    </row>
    <row r="374" spans="17:24" x14ac:dyDescent="0.25">
      <c r="Q374" s="19" t="s">
        <v>131</v>
      </c>
      <c r="R374" s="20">
        <v>45349</v>
      </c>
      <c r="S374" s="40">
        <v>362.42200000000003</v>
      </c>
      <c r="T374" s="40">
        <v>4.7699999999999996</v>
      </c>
      <c r="U374" s="40">
        <v>0.4</v>
      </c>
      <c r="V374" s="21">
        <v>1000</v>
      </c>
      <c r="W374" s="21">
        <v>764.01300000000003</v>
      </c>
      <c r="X374" s="32">
        <v>79.629000000000005</v>
      </c>
    </row>
    <row r="375" spans="17:24" x14ac:dyDescent="0.25">
      <c r="Q375" s="19" t="s">
        <v>131</v>
      </c>
      <c r="R375" s="20">
        <v>45349</v>
      </c>
      <c r="S375" s="40">
        <v>362.42200000000003</v>
      </c>
      <c r="T375" s="40">
        <v>4.7699999999999996</v>
      </c>
      <c r="U375" s="40">
        <v>0.4</v>
      </c>
      <c r="V375" s="21">
        <v>0</v>
      </c>
      <c r="W375" s="21">
        <v>701.73500000000001</v>
      </c>
      <c r="X375" s="32">
        <v>40.718000000000004</v>
      </c>
    </row>
    <row r="376" spans="17:24" x14ac:dyDescent="0.25">
      <c r="Q376" s="19" t="s">
        <v>131</v>
      </c>
      <c r="R376" s="20">
        <v>45350</v>
      </c>
      <c r="S376" s="40">
        <v>235.523</v>
      </c>
      <c r="T376" s="40">
        <v>1.488</v>
      </c>
      <c r="U376" s="40">
        <v>0.2</v>
      </c>
      <c r="V376" s="21">
        <v>0</v>
      </c>
      <c r="W376" s="21">
        <v>785.57299999999998</v>
      </c>
      <c r="X376" s="32">
        <v>14.394</v>
      </c>
    </row>
    <row r="377" spans="17:24" x14ac:dyDescent="0.25">
      <c r="Q377" s="19" t="s">
        <v>131</v>
      </c>
      <c r="R377" s="20">
        <v>45350</v>
      </c>
      <c r="S377" s="40">
        <v>235.523</v>
      </c>
      <c r="T377" s="40">
        <v>1.488</v>
      </c>
      <c r="U377" s="40">
        <v>0.2</v>
      </c>
      <c r="V377" s="21">
        <v>1000</v>
      </c>
      <c r="W377" s="21">
        <v>847.10400000000004</v>
      </c>
      <c r="X377" s="32">
        <v>48.557000000000002</v>
      </c>
    </row>
    <row r="378" spans="17:24" x14ac:dyDescent="0.25">
      <c r="Q378" s="19" t="s">
        <v>131</v>
      </c>
      <c r="R378" s="20">
        <v>45350</v>
      </c>
      <c r="S378" s="40">
        <v>235.523</v>
      </c>
      <c r="T378" s="40">
        <v>1.488</v>
      </c>
      <c r="U378" s="40">
        <v>0.2</v>
      </c>
      <c r="V378" s="21">
        <v>1950</v>
      </c>
      <c r="W378" s="21">
        <v>911.75</v>
      </c>
      <c r="X378" s="32">
        <v>70.498999999999995</v>
      </c>
    </row>
    <row r="379" spans="17:24" x14ac:dyDescent="0.25">
      <c r="Q379" s="19" t="s">
        <v>131</v>
      </c>
      <c r="R379" s="20">
        <v>45350</v>
      </c>
      <c r="S379" s="40">
        <v>235.523</v>
      </c>
      <c r="T379" s="40">
        <v>1.488</v>
      </c>
      <c r="U379" s="40">
        <v>0.2</v>
      </c>
      <c r="V379" s="21">
        <v>2000</v>
      </c>
      <c r="W379" s="21">
        <v>917.43799999999999</v>
      </c>
      <c r="X379" s="32">
        <v>79.989000000000004</v>
      </c>
    </row>
    <row r="380" spans="17:24" ht="16.5" thickBot="1" x14ac:dyDescent="0.3">
      <c r="Q380" s="24" t="s">
        <v>131</v>
      </c>
      <c r="R380" s="25">
        <v>45350</v>
      </c>
      <c r="S380" s="41">
        <v>235.523</v>
      </c>
      <c r="T380" s="41">
        <v>1.488</v>
      </c>
      <c r="U380" s="41">
        <v>0.2</v>
      </c>
      <c r="V380" s="26">
        <v>2050</v>
      </c>
      <c r="W380" s="26">
        <v>924.971</v>
      </c>
      <c r="X380" s="33">
        <v>87.516999999999996</v>
      </c>
    </row>
    <row r="381" spans="17:24" x14ac:dyDescent="0.25">
      <c r="Q381" s="14" t="s">
        <v>251</v>
      </c>
      <c r="R381" s="15">
        <v>45424</v>
      </c>
      <c r="S381" s="39">
        <v>1136.673</v>
      </c>
      <c r="T381" s="39">
        <v>16.16</v>
      </c>
      <c r="U381" s="39">
        <v>0.77</v>
      </c>
      <c r="V381" s="16">
        <v>0</v>
      </c>
      <c r="W381" s="16">
        <v>708.33299999999997</v>
      </c>
      <c r="X381" s="35">
        <v>35.286000000000001</v>
      </c>
    </row>
    <row r="382" spans="17:24" x14ac:dyDescent="0.25">
      <c r="Q382" s="19" t="s">
        <v>251</v>
      </c>
      <c r="R382" s="20">
        <v>45424</v>
      </c>
      <c r="S382" s="40">
        <v>1136.673</v>
      </c>
      <c r="T382" s="40">
        <v>16.16</v>
      </c>
      <c r="U382" s="40">
        <v>0.77</v>
      </c>
      <c r="V382" s="21">
        <v>500</v>
      </c>
      <c r="W382" s="21">
        <v>760.82600000000002</v>
      </c>
      <c r="X382" s="32">
        <v>69.656999999999996</v>
      </c>
    </row>
    <row r="383" spans="17:24" x14ac:dyDescent="0.25">
      <c r="Q383" s="19" t="s">
        <v>251</v>
      </c>
      <c r="R383" s="20">
        <v>45424</v>
      </c>
      <c r="S383" s="40">
        <v>1136.673</v>
      </c>
      <c r="T383" s="40">
        <v>16.16</v>
      </c>
      <c r="U383" s="40">
        <v>0.77</v>
      </c>
      <c r="V383" s="21">
        <v>1000</v>
      </c>
      <c r="W383" s="21">
        <v>817.69500000000005</v>
      </c>
      <c r="X383" s="32">
        <v>78.113</v>
      </c>
    </row>
    <row r="384" spans="17:24" x14ac:dyDescent="0.25">
      <c r="Q384" s="19" t="s">
        <v>251</v>
      </c>
      <c r="R384" s="20">
        <v>45424</v>
      </c>
      <c r="S384" s="40">
        <v>1136.673</v>
      </c>
      <c r="T384" s="40">
        <v>16.16</v>
      </c>
      <c r="U384" s="40">
        <v>0.77</v>
      </c>
      <c r="V384" s="21">
        <v>1500</v>
      </c>
      <c r="W384" s="21">
        <v>873.18499999999995</v>
      </c>
      <c r="X384" s="32">
        <v>83.382999999999996</v>
      </c>
    </row>
    <row r="385" spans="17:24" x14ac:dyDescent="0.25">
      <c r="Q385" s="19" t="s">
        <v>251</v>
      </c>
      <c r="R385" s="20">
        <v>45424</v>
      </c>
      <c r="S385" s="40">
        <v>1136.673</v>
      </c>
      <c r="T385" s="40">
        <v>16.16</v>
      </c>
      <c r="U385" s="40">
        <v>0.77</v>
      </c>
      <c r="V385" s="21">
        <v>2040</v>
      </c>
      <c r="W385" s="21">
        <v>931.98299999999995</v>
      </c>
      <c r="X385" s="32">
        <v>87.402000000000001</v>
      </c>
    </row>
    <row r="386" spans="17:24" x14ac:dyDescent="0.25">
      <c r="Q386" s="19" t="s">
        <v>251</v>
      </c>
      <c r="R386" s="20">
        <v>45424</v>
      </c>
      <c r="S386" s="40">
        <v>1136.673</v>
      </c>
      <c r="T386" s="40">
        <v>16.16</v>
      </c>
      <c r="U386" s="40">
        <v>0.77</v>
      </c>
      <c r="V386" s="21">
        <v>2090</v>
      </c>
      <c r="W386" s="21">
        <v>939.98199999999997</v>
      </c>
      <c r="X386" s="32">
        <v>88.369</v>
      </c>
    </row>
    <row r="387" spans="17:24" ht="16.5" thickBot="1" x14ac:dyDescent="0.3">
      <c r="Q387" s="24" t="s">
        <v>251</v>
      </c>
      <c r="R387" s="25">
        <v>45424</v>
      </c>
      <c r="S387" s="41">
        <v>1136.673</v>
      </c>
      <c r="T387" s="41">
        <v>16.16</v>
      </c>
      <c r="U387" s="41">
        <v>0.77</v>
      </c>
      <c r="V387" s="26">
        <v>2140</v>
      </c>
      <c r="W387" s="26">
        <v>947.35699999999997</v>
      </c>
      <c r="X387" s="33">
        <v>89.14</v>
      </c>
    </row>
    <row r="388" spans="17:24" x14ac:dyDescent="0.25">
      <c r="Q388" s="14" t="s">
        <v>136</v>
      </c>
      <c r="R388" s="15">
        <v>45393</v>
      </c>
      <c r="S388" s="39">
        <v>831.98900000000003</v>
      </c>
      <c r="T388" s="39">
        <v>16.8</v>
      </c>
      <c r="U388" s="39">
        <v>0.84</v>
      </c>
      <c r="V388" s="16">
        <v>0</v>
      </c>
      <c r="W388" s="16">
        <v>619.23</v>
      </c>
      <c r="X388" s="35">
        <v>30.6</v>
      </c>
    </row>
    <row r="389" spans="17:24" x14ac:dyDescent="0.25">
      <c r="Q389" s="19" t="s">
        <v>136</v>
      </c>
      <c r="R389" s="20">
        <v>45393</v>
      </c>
      <c r="S389" s="40">
        <v>831.98900000000003</v>
      </c>
      <c r="T389" s="40">
        <v>16.8</v>
      </c>
      <c r="U389" s="40">
        <v>0.84</v>
      </c>
      <c r="V389" s="21">
        <v>500</v>
      </c>
      <c r="W389" s="21">
        <v>665.47</v>
      </c>
      <c r="X389" s="32">
        <v>71.8</v>
      </c>
    </row>
    <row r="390" spans="17:24" x14ac:dyDescent="0.25">
      <c r="Q390" s="19" t="s">
        <v>136</v>
      </c>
      <c r="R390" s="20">
        <v>45393</v>
      </c>
      <c r="S390" s="40">
        <v>831.98900000000003</v>
      </c>
      <c r="T390" s="40">
        <v>16.8</v>
      </c>
      <c r="U390" s="40">
        <v>0.84</v>
      </c>
      <c r="V390" s="21">
        <v>1000</v>
      </c>
      <c r="W390" s="21">
        <v>706.95</v>
      </c>
      <c r="X390" s="32">
        <v>77</v>
      </c>
    </row>
    <row r="391" spans="17:24" x14ac:dyDescent="0.25">
      <c r="Q391" s="19" t="s">
        <v>136</v>
      </c>
      <c r="R391" s="20">
        <v>45393</v>
      </c>
      <c r="S391" s="40">
        <v>831.98900000000003</v>
      </c>
      <c r="T391" s="40">
        <v>16.8</v>
      </c>
      <c r="U391" s="40">
        <v>0.84</v>
      </c>
      <c r="V391" s="21">
        <v>1500</v>
      </c>
      <c r="W391" s="21">
        <v>748.52</v>
      </c>
      <c r="X391" s="32">
        <v>81.2</v>
      </c>
    </row>
    <row r="392" spans="17:24" x14ac:dyDescent="0.25">
      <c r="Q392" s="19" t="s">
        <v>136</v>
      </c>
      <c r="R392" s="20">
        <v>45393</v>
      </c>
      <c r="S392" s="40">
        <v>831.98900000000003</v>
      </c>
      <c r="T392" s="40">
        <v>16.8</v>
      </c>
      <c r="U392" s="40">
        <v>0.84</v>
      </c>
      <c r="V392" s="21">
        <v>2000</v>
      </c>
      <c r="W392" s="21">
        <v>790.66</v>
      </c>
      <c r="X392" s="32">
        <v>84.4</v>
      </c>
    </row>
    <row r="393" spans="17:24" ht="16.5" thickBot="1" x14ac:dyDescent="0.3">
      <c r="Q393" s="19" t="s">
        <v>136</v>
      </c>
      <c r="R393" s="20">
        <v>45393</v>
      </c>
      <c r="S393" s="40">
        <v>831.98900000000003</v>
      </c>
      <c r="T393" s="40">
        <v>16.8</v>
      </c>
      <c r="U393" s="40">
        <v>0.84</v>
      </c>
      <c r="V393" s="21">
        <v>2120</v>
      </c>
      <c r="W393" s="21">
        <v>802.67</v>
      </c>
      <c r="X393" s="32">
        <v>85.2</v>
      </c>
    </row>
    <row r="394" spans="17:24" x14ac:dyDescent="0.25">
      <c r="Q394" s="14" t="s">
        <v>107</v>
      </c>
      <c r="R394" s="15">
        <v>45457</v>
      </c>
      <c r="S394" s="39">
        <v>895.56051900000011</v>
      </c>
      <c r="T394" s="39">
        <v>8.9712000000000032</v>
      </c>
      <c r="U394" s="39">
        <v>0.66240000000000021</v>
      </c>
      <c r="V394" s="16">
        <v>0</v>
      </c>
      <c r="W394" s="16">
        <v>611.01300000000003</v>
      </c>
      <c r="X394" s="35">
        <v>33.154000000000003</v>
      </c>
    </row>
    <row r="395" spans="17:24" x14ac:dyDescent="0.25">
      <c r="Q395" s="19" t="s">
        <v>107</v>
      </c>
      <c r="R395" s="20">
        <v>45457</v>
      </c>
      <c r="S395" s="40">
        <v>895.56051900000011</v>
      </c>
      <c r="T395" s="40">
        <v>8.9712000000000032</v>
      </c>
      <c r="U395" s="40">
        <v>0.66240000000000021</v>
      </c>
      <c r="V395" s="21">
        <v>500</v>
      </c>
      <c r="W395" s="21">
        <v>659.78300000000002</v>
      </c>
      <c r="X395" s="32">
        <v>68.257999999999996</v>
      </c>
    </row>
    <row r="396" spans="17:24" x14ac:dyDescent="0.25">
      <c r="Q396" s="19" t="s">
        <v>107</v>
      </c>
      <c r="R396" s="20">
        <v>45457</v>
      </c>
      <c r="S396" s="40">
        <v>895.56051900000011</v>
      </c>
      <c r="T396" s="40">
        <v>8.9712000000000032</v>
      </c>
      <c r="U396" s="40">
        <v>0.66240000000000021</v>
      </c>
      <c r="V396" s="21">
        <v>1000</v>
      </c>
      <c r="W396" s="21">
        <v>708.125</v>
      </c>
      <c r="X396" s="32">
        <v>76.051000000000002</v>
      </c>
    </row>
    <row r="397" spans="17:24" x14ac:dyDescent="0.25">
      <c r="Q397" s="19" t="s">
        <v>107</v>
      </c>
      <c r="R397" s="20">
        <v>45457</v>
      </c>
      <c r="S397" s="40">
        <v>895.56051900000011</v>
      </c>
      <c r="T397" s="40">
        <v>8.9712000000000032</v>
      </c>
      <c r="U397" s="40">
        <v>0.66240000000000021</v>
      </c>
      <c r="V397" s="21">
        <v>1500</v>
      </c>
      <c r="W397" s="21">
        <v>753.91700000000003</v>
      </c>
      <c r="X397" s="32">
        <v>80.858000000000004</v>
      </c>
    </row>
    <row r="398" spans="17:24" x14ac:dyDescent="0.25">
      <c r="Q398" s="19" t="s">
        <v>107</v>
      </c>
      <c r="R398" s="20">
        <v>45457</v>
      </c>
      <c r="S398" s="40">
        <v>895.56051900000011</v>
      </c>
      <c r="T398" s="40">
        <v>8.9712000000000032</v>
      </c>
      <c r="U398" s="40">
        <v>0.66240000000000021</v>
      </c>
      <c r="V398" s="21">
        <v>1955</v>
      </c>
      <c r="W398" s="21">
        <v>796.98599999999999</v>
      </c>
      <c r="X398" s="32">
        <v>84.120999999999995</v>
      </c>
    </row>
    <row r="399" spans="17:24" ht="16.5" thickBot="1" x14ac:dyDescent="0.3">
      <c r="Q399" s="19" t="s">
        <v>107</v>
      </c>
      <c r="R399" s="20">
        <v>45457</v>
      </c>
      <c r="S399" s="40">
        <v>895.56051900000011</v>
      </c>
      <c r="T399" s="40">
        <v>8.9712000000000032</v>
      </c>
      <c r="U399" s="40">
        <v>0.66240000000000021</v>
      </c>
      <c r="V399" s="21">
        <v>2005</v>
      </c>
      <c r="W399" s="21">
        <v>802.13599999999997</v>
      </c>
      <c r="X399" s="32">
        <v>84.659000000000006</v>
      </c>
    </row>
    <row r="400" spans="17:24" x14ac:dyDescent="0.25">
      <c r="Q400" s="14" t="s">
        <v>151</v>
      </c>
      <c r="R400" s="15">
        <v>45390</v>
      </c>
      <c r="S400" s="39">
        <v>697.12599999999998</v>
      </c>
      <c r="T400" s="39">
        <v>3</v>
      </c>
      <c r="U400" s="39">
        <v>36</v>
      </c>
      <c r="V400" s="16">
        <v>0</v>
      </c>
      <c r="W400" s="16">
        <v>582.44000000000005</v>
      </c>
      <c r="X400" s="35">
        <v>35.4</v>
      </c>
    </row>
    <row r="401" spans="17:24" x14ac:dyDescent="0.25">
      <c r="Q401" s="19" t="s">
        <v>151</v>
      </c>
      <c r="R401" s="20">
        <v>45390</v>
      </c>
      <c r="S401" s="40">
        <v>697.12599999999998</v>
      </c>
      <c r="T401" s="40">
        <v>3</v>
      </c>
      <c r="U401" s="40">
        <v>36</v>
      </c>
      <c r="V401" s="21">
        <v>500</v>
      </c>
      <c r="W401" s="21">
        <v>652.21</v>
      </c>
      <c r="X401" s="32">
        <v>72</v>
      </c>
    </row>
    <row r="402" spans="17:24" x14ac:dyDescent="0.25">
      <c r="Q402" s="19" t="s">
        <v>151</v>
      </c>
      <c r="R402" s="20">
        <v>45390</v>
      </c>
      <c r="S402" s="40">
        <v>697.12599999999998</v>
      </c>
      <c r="T402" s="40">
        <v>3</v>
      </c>
      <c r="U402" s="40">
        <v>36</v>
      </c>
      <c r="V402" s="21">
        <v>1000</v>
      </c>
      <c r="W402" s="21">
        <v>713.54</v>
      </c>
      <c r="X402" s="32">
        <v>77.8</v>
      </c>
    </row>
    <row r="403" spans="17:24" x14ac:dyDescent="0.25">
      <c r="Q403" s="19" t="s">
        <v>151</v>
      </c>
      <c r="R403" s="20">
        <v>45390</v>
      </c>
      <c r="S403" s="40">
        <v>697.12599999999998</v>
      </c>
      <c r="T403" s="40">
        <v>3</v>
      </c>
      <c r="U403" s="40">
        <v>36</v>
      </c>
      <c r="V403" s="21">
        <v>1500</v>
      </c>
      <c r="W403" s="21">
        <v>772.71</v>
      </c>
      <c r="X403" s="32">
        <v>82.3</v>
      </c>
    </row>
    <row r="404" spans="17:24" x14ac:dyDescent="0.25">
      <c r="Q404" s="19" t="s">
        <v>151</v>
      </c>
      <c r="R404" s="20">
        <v>45390</v>
      </c>
      <c r="S404" s="40">
        <v>697.12599999999998</v>
      </c>
      <c r="T404" s="40">
        <v>3</v>
      </c>
      <c r="U404" s="40">
        <v>36</v>
      </c>
      <c r="V404" s="21">
        <v>2000</v>
      </c>
      <c r="W404" s="21">
        <v>833.51</v>
      </c>
      <c r="X404" s="32">
        <v>85.5</v>
      </c>
    </row>
    <row r="405" spans="17:24" ht="16.5" thickBot="1" x14ac:dyDescent="0.3">
      <c r="Q405" s="19" t="s">
        <v>151</v>
      </c>
      <c r="R405" s="20">
        <v>45390</v>
      </c>
      <c r="S405" s="40">
        <v>697.12599999999998</v>
      </c>
      <c r="T405" s="40">
        <v>3</v>
      </c>
      <c r="U405" s="40">
        <v>36</v>
      </c>
      <c r="V405" s="21">
        <v>2130</v>
      </c>
      <c r="W405" s="21">
        <v>843.46</v>
      </c>
      <c r="X405" s="32">
        <v>86.1</v>
      </c>
    </row>
    <row r="406" spans="17:24" x14ac:dyDescent="0.25">
      <c r="Q406" s="14" t="s">
        <v>133</v>
      </c>
      <c r="R406" s="15">
        <v>45446</v>
      </c>
      <c r="S406" s="39">
        <v>685.45699999999999</v>
      </c>
      <c r="T406" s="39">
        <v>8.9700000000000006</v>
      </c>
      <c r="U406" s="39">
        <v>0.48</v>
      </c>
      <c r="V406" s="16">
        <v>0</v>
      </c>
      <c r="W406" s="16">
        <v>575.625</v>
      </c>
      <c r="X406" s="35">
        <v>38.220999999999997</v>
      </c>
    </row>
    <row r="407" spans="17:24" x14ac:dyDescent="0.25">
      <c r="Q407" s="19" t="s">
        <v>133</v>
      </c>
      <c r="R407" s="20">
        <v>45446</v>
      </c>
      <c r="S407" s="40">
        <v>685.45699999999999</v>
      </c>
      <c r="T407" s="40">
        <v>8.9700000000000006</v>
      </c>
      <c r="U407" s="40">
        <v>0.48</v>
      </c>
      <c r="V407" s="21">
        <v>500</v>
      </c>
      <c r="W407" s="21">
        <v>613.24099999999999</v>
      </c>
      <c r="X407" s="32">
        <v>68.599000000000004</v>
      </c>
    </row>
    <row r="408" spans="17:24" x14ac:dyDescent="0.25">
      <c r="Q408" s="19" t="s">
        <v>133</v>
      </c>
      <c r="R408" s="20">
        <v>45446</v>
      </c>
      <c r="S408" s="40">
        <v>685.45699999999999</v>
      </c>
      <c r="T408" s="40">
        <v>8.9700000000000006</v>
      </c>
      <c r="U408" s="40">
        <v>0.48</v>
      </c>
      <c r="V408" s="21">
        <v>1000</v>
      </c>
      <c r="W408" s="21">
        <v>652.87800000000004</v>
      </c>
      <c r="X408" s="32">
        <v>75.180000000000007</v>
      </c>
    </row>
    <row r="409" spans="17:24" x14ac:dyDescent="0.25">
      <c r="Q409" s="19" t="s">
        <v>133</v>
      </c>
      <c r="R409" s="20">
        <v>45446</v>
      </c>
      <c r="S409" s="40">
        <v>685.45699999999999</v>
      </c>
      <c r="T409" s="40">
        <v>8.9700000000000006</v>
      </c>
      <c r="U409" s="40">
        <v>0.48</v>
      </c>
      <c r="V409" s="21">
        <v>1500</v>
      </c>
      <c r="W409" s="21">
        <v>691.90200000000004</v>
      </c>
      <c r="X409" s="32">
        <v>79.912999999999997</v>
      </c>
    </row>
    <row r="410" spans="17:24" x14ac:dyDescent="0.25">
      <c r="Q410" s="19" t="s">
        <v>133</v>
      </c>
      <c r="R410" s="20">
        <v>45446</v>
      </c>
      <c r="S410" s="40">
        <v>685.45699999999999</v>
      </c>
      <c r="T410" s="40">
        <v>8.9700000000000006</v>
      </c>
      <c r="U410" s="40">
        <v>0.48</v>
      </c>
      <c r="V410" s="21">
        <v>2000</v>
      </c>
      <c r="W410" s="21">
        <v>731.08100000000002</v>
      </c>
      <c r="X410" s="32">
        <v>82.903999999999996</v>
      </c>
    </row>
    <row r="411" spans="17:24" x14ac:dyDescent="0.25">
      <c r="Q411" s="19" t="s">
        <v>133</v>
      </c>
      <c r="R411" s="20">
        <v>45446</v>
      </c>
      <c r="S411" s="40">
        <v>685.45699999999999</v>
      </c>
      <c r="T411" s="40">
        <v>8.9700000000000006</v>
      </c>
      <c r="U411" s="40">
        <v>0.48</v>
      </c>
      <c r="V411" s="21">
        <v>2050</v>
      </c>
      <c r="W411" s="21">
        <v>737.15700000000004</v>
      </c>
      <c r="X411" s="32">
        <v>83.343999999999994</v>
      </c>
    </row>
    <row r="412" spans="17:24" ht="16.5" thickBot="1" x14ac:dyDescent="0.3">
      <c r="Q412" s="24" t="s">
        <v>133</v>
      </c>
      <c r="R412" s="25">
        <v>45446</v>
      </c>
      <c r="S412" s="41">
        <v>685.45699999999999</v>
      </c>
      <c r="T412" s="41">
        <v>8.9700000000000006</v>
      </c>
      <c r="U412" s="41">
        <v>0.48</v>
      </c>
      <c r="V412" s="26">
        <v>2100</v>
      </c>
      <c r="W412" s="26">
        <v>740.18299999999999</v>
      </c>
      <c r="X412" s="33">
        <v>83.605000000000004</v>
      </c>
    </row>
    <row r="413" spans="17:24" x14ac:dyDescent="0.25">
      <c r="Q413" s="14" t="s">
        <v>180</v>
      </c>
      <c r="R413" s="15">
        <v>45359</v>
      </c>
      <c r="S413" s="39">
        <v>354.56700000000001</v>
      </c>
      <c r="T413" s="39">
        <v>2.2320000000000002</v>
      </c>
      <c r="U413" s="39">
        <v>0.48</v>
      </c>
      <c r="V413" s="16">
        <v>0</v>
      </c>
      <c r="W413" s="16">
        <v>564.46199999999999</v>
      </c>
      <c r="X413" s="35">
        <v>19.84</v>
      </c>
    </row>
    <row r="414" spans="17:24" x14ac:dyDescent="0.25">
      <c r="Q414" s="19" t="s">
        <v>180</v>
      </c>
      <c r="R414" s="20">
        <v>45359</v>
      </c>
      <c r="S414" s="40">
        <v>354.56700000000001</v>
      </c>
      <c r="T414" s="40">
        <v>2.2320000000000002</v>
      </c>
      <c r="U414" s="40">
        <v>0.48</v>
      </c>
      <c r="V414" s="21">
        <v>1000</v>
      </c>
      <c r="W414" s="21">
        <v>698.19200000000001</v>
      </c>
      <c r="X414" s="32">
        <v>57.582000000000001</v>
      </c>
    </row>
    <row r="415" spans="17:24" x14ac:dyDescent="0.25">
      <c r="Q415" s="19" t="s">
        <v>180</v>
      </c>
      <c r="R415" s="20">
        <v>45359</v>
      </c>
      <c r="S415" s="40">
        <v>354.56700000000001</v>
      </c>
      <c r="T415" s="40">
        <v>2.2320000000000002</v>
      </c>
      <c r="U415" s="40">
        <v>0.48</v>
      </c>
      <c r="V415" s="21">
        <v>2040</v>
      </c>
      <c r="W415" s="21">
        <v>825.92200000000003</v>
      </c>
      <c r="X415" s="32">
        <v>78.075000000000003</v>
      </c>
    </row>
    <row r="416" spans="17:24" x14ac:dyDescent="0.25">
      <c r="Q416" s="19" t="s">
        <v>180</v>
      </c>
      <c r="R416" s="20">
        <v>45359</v>
      </c>
      <c r="S416" s="40">
        <v>354.56700000000001</v>
      </c>
      <c r="T416" s="40">
        <v>2.2320000000000002</v>
      </c>
      <c r="U416" s="40">
        <v>0.48</v>
      </c>
      <c r="V416" s="21">
        <v>2090</v>
      </c>
      <c r="W416" s="21">
        <v>831.99099999999999</v>
      </c>
      <c r="X416" s="32">
        <v>83.942999999999998</v>
      </c>
    </row>
    <row r="417" spans="17:24" x14ac:dyDescent="0.25">
      <c r="Q417" s="19" t="s">
        <v>180</v>
      </c>
      <c r="R417" s="20">
        <v>45359</v>
      </c>
      <c r="S417" s="40">
        <v>354.56700000000001</v>
      </c>
      <c r="T417" s="40">
        <v>2.2320000000000002</v>
      </c>
      <c r="U417" s="40">
        <v>0.48</v>
      </c>
      <c r="V417" s="21">
        <v>2140</v>
      </c>
      <c r="W417" s="21">
        <v>838.46600000000001</v>
      </c>
      <c r="X417" s="32">
        <v>89.344999999999999</v>
      </c>
    </row>
    <row r="418" spans="17:24" x14ac:dyDescent="0.25">
      <c r="Q418" s="19" t="s">
        <v>180</v>
      </c>
      <c r="R418" s="20">
        <v>45359</v>
      </c>
      <c r="S418" s="40">
        <v>265.39</v>
      </c>
      <c r="T418" s="40">
        <v>1.86</v>
      </c>
      <c r="U418" s="40">
        <v>0.12</v>
      </c>
      <c r="V418" s="21">
        <v>2140</v>
      </c>
      <c r="W418" s="21">
        <v>906.05399999999997</v>
      </c>
      <c r="X418" s="32">
        <v>90.507000000000005</v>
      </c>
    </row>
    <row r="419" spans="17:24" x14ac:dyDescent="0.25">
      <c r="Q419" s="19" t="s">
        <v>180</v>
      </c>
      <c r="R419" s="20">
        <v>45359</v>
      </c>
      <c r="S419" s="40">
        <v>265.39</v>
      </c>
      <c r="T419" s="40">
        <v>1.86</v>
      </c>
      <c r="U419" s="40">
        <v>0.12</v>
      </c>
      <c r="V419" s="21">
        <v>2090</v>
      </c>
      <c r="W419" s="21">
        <v>902.55499999999995</v>
      </c>
      <c r="X419" s="32">
        <v>90.432000000000002</v>
      </c>
    </row>
    <row r="420" spans="17:24" x14ac:dyDescent="0.25">
      <c r="Q420" s="19" t="s">
        <v>180</v>
      </c>
      <c r="R420" s="20">
        <v>45359</v>
      </c>
      <c r="S420" s="40">
        <v>265.39</v>
      </c>
      <c r="T420" s="40">
        <v>1.86</v>
      </c>
      <c r="U420" s="40">
        <v>0.12</v>
      </c>
      <c r="V420" s="21">
        <v>2040</v>
      </c>
      <c r="W420" s="21">
        <v>898.04700000000003</v>
      </c>
      <c r="X420" s="32">
        <v>90.233000000000004</v>
      </c>
    </row>
    <row r="421" spans="17:24" x14ac:dyDescent="0.25">
      <c r="Q421" s="19" t="s">
        <v>180</v>
      </c>
      <c r="R421" s="20">
        <v>45359</v>
      </c>
      <c r="S421" s="40">
        <v>265.39</v>
      </c>
      <c r="T421" s="40">
        <v>1.86</v>
      </c>
      <c r="U421" s="40">
        <v>0.12</v>
      </c>
      <c r="V421" s="21">
        <v>1000</v>
      </c>
      <c r="W421" s="21">
        <v>801.14</v>
      </c>
      <c r="X421" s="32">
        <v>85.766000000000005</v>
      </c>
    </row>
    <row r="422" spans="17:24" x14ac:dyDescent="0.25">
      <c r="Q422" s="19" t="s">
        <v>180</v>
      </c>
      <c r="R422" s="20">
        <v>45359</v>
      </c>
      <c r="S422" s="40">
        <v>265.39</v>
      </c>
      <c r="T422" s="40">
        <v>1.86</v>
      </c>
      <c r="U422" s="40">
        <v>0.12</v>
      </c>
      <c r="V422" s="21">
        <v>0</v>
      </c>
      <c r="W422" s="21">
        <v>703.28099999999995</v>
      </c>
      <c r="X422" s="32">
        <v>66.576999999999998</v>
      </c>
    </row>
    <row r="423" spans="17:24" x14ac:dyDescent="0.25">
      <c r="Q423" s="19" t="s">
        <v>180</v>
      </c>
      <c r="R423" s="20">
        <v>45360</v>
      </c>
      <c r="S423" s="40">
        <v>185.22</v>
      </c>
      <c r="T423" s="40">
        <v>1.488</v>
      </c>
      <c r="U423" s="40">
        <v>0</v>
      </c>
      <c r="V423" s="21">
        <v>0</v>
      </c>
      <c r="W423" s="21">
        <v>774.70699999999999</v>
      </c>
      <c r="X423" s="32">
        <v>15.411</v>
      </c>
    </row>
    <row r="424" spans="17:24" x14ac:dyDescent="0.25">
      <c r="Q424" s="19" t="s">
        <v>180</v>
      </c>
      <c r="R424" s="20">
        <v>45360</v>
      </c>
      <c r="S424" s="40">
        <v>185.22</v>
      </c>
      <c r="T424" s="40">
        <v>1.488</v>
      </c>
      <c r="U424" s="40">
        <v>0</v>
      </c>
      <c r="V424" s="21">
        <v>1000</v>
      </c>
      <c r="W424" s="21">
        <v>856.13199999999995</v>
      </c>
      <c r="X424" s="32">
        <v>58.463000000000001</v>
      </c>
    </row>
    <row r="425" spans="17:24" x14ac:dyDescent="0.25">
      <c r="Q425" s="19" t="s">
        <v>180</v>
      </c>
      <c r="R425" s="20">
        <v>45360</v>
      </c>
      <c r="S425" s="40">
        <v>185.22</v>
      </c>
      <c r="T425" s="40">
        <v>1.488</v>
      </c>
      <c r="U425" s="40">
        <v>0</v>
      </c>
      <c r="V425" s="21">
        <v>2040</v>
      </c>
      <c r="W425" s="21">
        <v>941.89300000000003</v>
      </c>
      <c r="X425" s="32">
        <v>79.510000000000005</v>
      </c>
    </row>
    <row r="426" spans="17:24" x14ac:dyDescent="0.25">
      <c r="Q426" s="19" t="s">
        <v>180</v>
      </c>
      <c r="R426" s="20">
        <v>45360</v>
      </c>
      <c r="S426" s="40">
        <v>185.22</v>
      </c>
      <c r="T426" s="40">
        <v>1.488</v>
      </c>
      <c r="U426" s="40">
        <v>0</v>
      </c>
      <c r="V426" s="21">
        <v>2090</v>
      </c>
      <c r="W426" s="21">
        <v>947.61199999999997</v>
      </c>
      <c r="X426" s="32">
        <v>85.61</v>
      </c>
    </row>
    <row r="427" spans="17:24" ht="16.5" thickBot="1" x14ac:dyDescent="0.3">
      <c r="Q427" s="24" t="s">
        <v>180</v>
      </c>
      <c r="R427" s="25">
        <v>45360</v>
      </c>
      <c r="S427" s="41">
        <v>185.22</v>
      </c>
      <c r="T427" s="41">
        <v>1.488</v>
      </c>
      <c r="U427" s="41">
        <v>0</v>
      </c>
      <c r="V427" s="26">
        <v>2140</v>
      </c>
      <c r="W427" s="26">
        <v>952.59199999999998</v>
      </c>
      <c r="X427" s="33">
        <v>91.183000000000007</v>
      </c>
    </row>
    <row r="428" spans="17:24" x14ac:dyDescent="0.25">
      <c r="Q428" s="14" t="s">
        <v>264</v>
      </c>
      <c r="R428" s="15">
        <v>45363</v>
      </c>
      <c r="S428" s="43">
        <v>418.59100000000001</v>
      </c>
      <c r="T428" s="16">
        <v>5.17</v>
      </c>
      <c r="U428" s="16">
        <v>0.44</v>
      </c>
      <c r="V428" s="16">
        <v>0</v>
      </c>
      <c r="W428" s="16">
        <v>601.88400000000001</v>
      </c>
      <c r="X428" s="35">
        <v>15.718</v>
      </c>
    </row>
    <row r="429" spans="17:24" x14ac:dyDescent="0.25">
      <c r="Q429" s="19" t="s">
        <v>264</v>
      </c>
      <c r="R429" s="20">
        <v>45363</v>
      </c>
      <c r="S429" s="44">
        <v>418.59100000000001</v>
      </c>
      <c r="T429" s="21">
        <v>5.17</v>
      </c>
      <c r="U429" s="21">
        <v>0.44</v>
      </c>
      <c r="V429" s="21">
        <v>1000</v>
      </c>
      <c r="W429" s="21">
        <v>724.76900000000001</v>
      </c>
      <c r="X429" s="32">
        <v>63.064</v>
      </c>
    </row>
    <row r="430" spans="17:24" x14ac:dyDescent="0.25">
      <c r="Q430" s="19" t="s">
        <v>264</v>
      </c>
      <c r="R430" s="20">
        <v>45363</v>
      </c>
      <c r="S430" s="44">
        <v>418.59100000000001</v>
      </c>
      <c r="T430" s="21">
        <v>5.17</v>
      </c>
      <c r="U430" s="21">
        <v>0.44</v>
      </c>
      <c r="V430" s="21">
        <v>2035</v>
      </c>
      <c r="W430" s="21">
        <v>845.29899999999998</v>
      </c>
      <c r="X430" s="32">
        <v>79.878</v>
      </c>
    </row>
    <row r="431" spans="17:24" x14ac:dyDescent="0.25">
      <c r="Q431" s="19" t="s">
        <v>264</v>
      </c>
      <c r="R431" s="20">
        <v>45363</v>
      </c>
      <c r="S431" s="44">
        <v>418.59100000000001</v>
      </c>
      <c r="T431" s="21">
        <v>5.17</v>
      </c>
      <c r="U431" s="21">
        <v>0.44</v>
      </c>
      <c r="V431" s="21">
        <v>2085</v>
      </c>
      <c r="W431" s="21">
        <v>852.73699999999997</v>
      </c>
      <c r="X431" s="32">
        <v>84.802999999999997</v>
      </c>
    </row>
    <row r="432" spans="17:24" x14ac:dyDescent="0.25">
      <c r="Q432" s="19" t="s">
        <v>264</v>
      </c>
      <c r="R432" s="20">
        <v>45363</v>
      </c>
      <c r="S432" s="44">
        <v>418.59100000000001</v>
      </c>
      <c r="T432" s="21">
        <v>5.17</v>
      </c>
      <c r="U432" s="21">
        <v>0.44</v>
      </c>
      <c r="V432" s="21">
        <v>2135</v>
      </c>
      <c r="W432" s="21">
        <v>857.32799999999997</v>
      </c>
      <c r="X432" s="32">
        <v>89.100999999999999</v>
      </c>
    </row>
    <row r="433" spans="17:24" x14ac:dyDescent="0.25">
      <c r="Q433" s="19" t="s">
        <v>264</v>
      </c>
      <c r="R433" s="20">
        <v>45363</v>
      </c>
      <c r="S433" s="44">
        <v>316.55799999999999</v>
      </c>
      <c r="T433" s="21">
        <v>2.98</v>
      </c>
      <c r="U433" s="21">
        <v>0.28000000000000003</v>
      </c>
      <c r="V433" s="21">
        <v>2135</v>
      </c>
      <c r="W433" s="21">
        <v>896.52099999999996</v>
      </c>
      <c r="X433" s="32">
        <v>89.850999999999999</v>
      </c>
    </row>
    <row r="434" spans="17:24" x14ac:dyDescent="0.25">
      <c r="Q434" s="19" t="s">
        <v>264</v>
      </c>
      <c r="R434" s="20">
        <v>45363</v>
      </c>
      <c r="S434" s="44">
        <v>316.55799999999999</v>
      </c>
      <c r="T434" s="21">
        <v>2.98</v>
      </c>
      <c r="U434" s="21">
        <v>0.28000000000000003</v>
      </c>
      <c r="V434" s="21">
        <v>2085</v>
      </c>
      <c r="W434" s="21">
        <v>893.11599999999999</v>
      </c>
      <c r="X434" s="32">
        <v>89.768000000000001</v>
      </c>
    </row>
    <row r="435" spans="17:24" x14ac:dyDescent="0.25">
      <c r="Q435" s="19" t="s">
        <v>264</v>
      </c>
      <c r="R435" s="20">
        <v>45363</v>
      </c>
      <c r="S435" s="44">
        <v>316.55799999999999</v>
      </c>
      <c r="T435" s="21">
        <v>2.98</v>
      </c>
      <c r="U435" s="21">
        <v>0.28000000000000003</v>
      </c>
      <c r="V435" s="21">
        <v>2035</v>
      </c>
      <c r="W435" s="21">
        <v>888.154</v>
      </c>
      <c r="X435" s="32">
        <v>89.587999999999994</v>
      </c>
    </row>
    <row r="436" spans="17:24" x14ac:dyDescent="0.25">
      <c r="Q436" s="19" t="s">
        <v>264</v>
      </c>
      <c r="R436" s="20">
        <v>45363</v>
      </c>
      <c r="S436" s="44">
        <v>316.55799999999999</v>
      </c>
      <c r="T436" s="21">
        <v>2.98</v>
      </c>
      <c r="U436" s="21">
        <v>0.28000000000000003</v>
      </c>
      <c r="V436" s="21">
        <v>1000</v>
      </c>
      <c r="W436" s="21">
        <v>785.30700000000002</v>
      </c>
      <c r="X436" s="32">
        <v>85.293000000000006</v>
      </c>
    </row>
    <row r="437" spans="17:24" x14ac:dyDescent="0.25">
      <c r="Q437" s="19" t="s">
        <v>264</v>
      </c>
      <c r="R437" s="20">
        <v>45363</v>
      </c>
      <c r="S437" s="44">
        <v>316.55799999999999</v>
      </c>
      <c r="T437" s="21">
        <v>2.98</v>
      </c>
      <c r="U437" s="21">
        <v>0.28000000000000003</v>
      </c>
      <c r="V437" s="21">
        <v>0</v>
      </c>
      <c r="W437" s="21">
        <v>684.64</v>
      </c>
      <c r="X437" s="32">
        <v>68.122</v>
      </c>
    </row>
    <row r="438" spans="17:24" x14ac:dyDescent="0.25">
      <c r="Q438" s="19" t="s">
        <v>264</v>
      </c>
      <c r="R438" s="20">
        <v>45364</v>
      </c>
      <c r="S438" s="44">
        <v>213.636</v>
      </c>
      <c r="T438" s="21">
        <v>2.72</v>
      </c>
      <c r="U438" s="21">
        <v>0.44</v>
      </c>
      <c r="V438" s="21">
        <v>0</v>
      </c>
      <c r="W438" s="21">
        <v>788.11300000000006</v>
      </c>
      <c r="X438" s="32">
        <v>17.222999999999999</v>
      </c>
    </row>
    <row r="439" spans="17:24" x14ac:dyDescent="0.25">
      <c r="Q439" s="19" t="s">
        <v>264</v>
      </c>
      <c r="R439" s="20">
        <v>45364</v>
      </c>
      <c r="S439" s="44">
        <v>213.636</v>
      </c>
      <c r="T439" s="21">
        <v>2.72</v>
      </c>
      <c r="U439" s="21">
        <v>0.44</v>
      </c>
      <c r="V439" s="21">
        <v>1000</v>
      </c>
      <c r="W439" s="21">
        <v>865.58299999999997</v>
      </c>
      <c r="X439" s="32">
        <v>59.771999999999998</v>
      </c>
    </row>
    <row r="440" spans="17:24" x14ac:dyDescent="0.25">
      <c r="Q440" s="19" t="s">
        <v>264</v>
      </c>
      <c r="R440" s="20">
        <v>45364</v>
      </c>
      <c r="S440" s="44">
        <v>213.636</v>
      </c>
      <c r="T440" s="21">
        <v>2.72</v>
      </c>
      <c r="U440" s="21">
        <v>0.44</v>
      </c>
      <c r="V440" s="21">
        <v>2035</v>
      </c>
      <c r="W440" s="21">
        <v>949.35699999999997</v>
      </c>
      <c r="X440" s="32">
        <v>80.643000000000001</v>
      </c>
    </row>
    <row r="441" spans="17:24" x14ac:dyDescent="0.25">
      <c r="Q441" s="19" t="s">
        <v>264</v>
      </c>
      <c r="R441" s="20">
        <v>45364</v>
      </c>
      <c r="S441" s="44">
        <v>213.636</v>
      </c>
      <c r="T441" s="21">
        <v>2.72</v>
      </c>
      <c r="U441" s="21">
        <v>0.44</v>
      </c>
      <c r="V441" s="21">
        <v>2085</v>
      </c>
      <c r="W441" s="21">
        <v>955.13099999999997</v>
      </c>
      <c r="X441" s="32">
        <v>86.796000000000006</v>
      </c>
    </row>
    <row r="442" spans="17:24" ht="16.5" thickBot="1" x14ac:dyDescent="0.3">
      <c r="Q442" s="24" t="s">
        <v>264</v>
      </c>
      <c r="R442" s="25">
        <v>45364</v>
      </c>
      <c r="S442" s="45">
        <v>213.636</v>
      </c>
      <c r="T442" s="26">
        <v>2.72</v>
      </c>
      <c r="U442" s="26">
        <v>0.44</v>
      </c>
      <c r="V442" s="26">
        <v>2135</v>
      </c>
      <c r="W442" s="26">
        <v>959.57</v>
      </c>
      <c r="X442" s="33">
        <v>90.474000000000004</v>
      </c>
    </row>
    <row r="443" spans="17:24" x14ac:dyDescent="0.25">
      <c r="Q443" s="14" t="s">
        <v>266</v>
      </c>
      <c r="R443" s="15">
        <v>45407</v>
      </c>
      <c r="S443" s="43">
        <v>1031.1389999999999</v>
      </c>
      <c r="T443" s="16">
        <v>1.68</v>
      </c>
      <c r="U443" s="16">
        <v>0.8</v>
      </c>
      <c r="V443" s="16">
        <v>0</v>
      </c>
      <c r="W443" s="39">
        <v>727.01499999999999</v>
      </c>
      <c r="X443" s="18">
        <v>23.526</v>
      </c>
    </row>
    <row r="444" spans="17:24" x14ac:dyDescent="0.25">
      <c r="Q444" s="19" t="s">
        <v>266</v>
      </c>
      <c r="R444" s="20">
        <v>45407</v>
      </c>
      <c r="S444" s="44">
        <v>1031.1389999999999</v>
      </c>
      <c r="T444" s="21">
        <v>1.68</v>
      </c>
      <c r="U444" s="21">
        <v>0.8</v>
      </c>
      <c r="V444" s="21">
        <v>500</v>
      </c>
      <c r="W444" s="40">
        <v>776.25800000000004</v>
      </c>
      <c r="X444" s="23">
        <v>73.873999999999995</v>
      </c>
    </row>
    <row r="445" spans="17:24" x14ac:dyDescent="0.25">
      <c r="Q445" s="19" t="s">
        <v>266</v>
      </c>
      <c r="R445" s="20">
        <v>45408</v>
      </c>
      <c r="S445" s="44">
        <v>1031.1389999999999</v>
      </c>
      <c r="T445" s="21">
        <v>1.68</v>
      </c>
      <c r="U445" s="21">
        <v>0.8</v>
      </c>
      <c r="V445" s="21">
        <v>1000</v>
      </c>
      <c r="W445" s="40">
        <v>822.44200000000001</v>
      </c>
      <c r="X445" s="23">
        <v>79.034999999999997</v>
      </c>
    </row>
    <row r="446" spans="17:24" x14ac:dyDescent="0.25">
      <c r="Q446" s="19" t="s">
        <v>266</v>
      </c>
      <c r="R446" s="20">
        <v>45409</v>
      </c>
      <c r="S446" s="44">
        <v>1031.1389999999999</v>
      </c>
      <c r="T446" s="21">
        <v>1.68</v>
      </c>
      <c r="U446" s="21">
        <v>0.8</v>
      </c>
      <c r="V446" s="21">
        <v>1500</v>
      </c>
      <c r="W446" s="40">
        <v>868.50800000000004</v>
      </c>
      <c r="X446" s="23">
        <v>83.430999999999997</v>
      </c>
    </row>
    <row r="447" spans="17:24" x14ac:dyDescent="0.25">
      <c r="Q447" s="19" t="s">
        <v>266</v>
      </c>
      <c r="R447" s="20">
        <v>45410</v>
      </c>
      <c r="S447" s="44">
        <v>1031.1389999999999</v>
      </c>
      <c r="T447" s="21">
        <v>1.68</v>
      </c>
      <c r="U447" s="21">
        <v>0.8</v>
      </c>
      <c r="V447" s="21">
        <v>2005</v>
      </c>
      <c r="W447" s="40">
        <v>914.57100000000003</v>
      </c>
      <c r="X447" s="23">
        <v>86.861999999999995</v>
      </c>
    </row>
    <row r="448" spans="17:24" x14ac:dyDescent="0.25">
      <c r="Q448" s="19" t="s">
        <v>266</v>
      </c>
      <c r="R448" s="20">
        <v>45411</v>
      </c>
      <c r="S448" s="44">
        <v>1031.1389999999999</v>
      </c>
      <c r="T448" s="21">
        <v>1.68</v>
      </c>
      <c r="U448" s="21">
        <v>0.8</v>
      </c>
      <c r="V448" s="21">
        <v>2055</v>
      </c>
      <c r="W448" s="40">
        <v>919.37400000000002</v>
      </c>
      <c r="X448" s="23">
        <v>87.313000000000002</v>
      </c>
    </row>
    <row r="449" spans="17:24" ht="16.5" thickBot="1" x14ac:dyDescent="0.3">
      <c r="Q449" s="24" t="s">
        <v>266</v>
      </c>
      <c r="R449" s="25">
        <v>45411</v>
      </c>
      <c r="S449" s="45">
        <v>1031.1389999999999</v>
      </c>
      <c r="T449" s="26">
        <v>1.68</v>
      </c>
      <c r="U449" s="26">
        <v>0.8</v>
      </c>
      <c r="V449" s="26">
        <v>2105</v>
      </c>
      <c r="W449" s="41">
        <v>924.76499999999999</v>
      </c>
      <c r="X449" s="28">
        <v>87.668999999999997</v>
      </c>
    </row>
    <row r="450" spans="17:24" x14ac:dyDescent="0.25">
      <c r="Q450" s="14" t="s">
        <v>198</v>
      </c>
      <c r="R450" s="15">
        <v>45434</v>
      </c>
      <c r="S450" s="39">
        <v>556.476</v>
      </c>
      <c r="T450" s="39">
        <v>5</v>
      </c>
      <c r="U450" s="39">
        <v>0.77</v>
      </c>
      <c r="V450" s="16">
        <v>0</v>
      </c>
      <c r="W450" s="16">
        <v>593.54</v>
      </c>
      <c r="X450" s="35">
        <v>37.22</v>
      </c>
    </row>
    <row r="451" spans="17:24" x14ac:dyDescent="0.25">
      <c r="Q451" s="19" t="s">
        <v>198</v>
      </c>
      <c r="R451" s="20">
        <v>45434</v>
      </c>
      <c r="S451" s="40">
        <v>556.476</v>
      </c>
      <c r="T451" s="40">
        <v>5</v>
      </c>
      <c r="U451" s="40">
        <v>0.77</v>
      </c>
      <c r="V451" s="21">
        <v>500</v>
      </c>
      <c r="W451" s="21">
        <v>625.25800000000004</v>
      </c>
      <c r="X451" s="32">
        <v>65.256</v>
      </c>
    </row>
    <row r="452" spans="17:24" x14ac:dyDescent="0.25">
      <c r="Q452" s="19" t="s">
        <v>198</v>
      </c>
      <c r="R452" s="20">
        <v>45434</v>
      </c>
      <c r="S452" s="40">
        <v>556.476</v>
      </c>
      <c r="T452" s="40">
        <v>5</v>
      </c>
      <c r="U452" s="40">
        <v>0.77</v>
      </c>
      <c r="V452" s="21">
        <v>1000</v>
      </c>
      <c r="W452" s="21">
        <v>656.66399999999999</v>
      </c>
      <c r="X452" s="32">
        <v>72.14</v>
      </c>
    </row>
    <row r="453" spans="17:24" x14ac:dyDescent="0.25">
      <c r="Q453" s="19" t="s">
        <v>198</v>
      </c>
      <c r="R453" s="20">
        <v>45434</v>
      </c>
      <c r="S453" s="40">
        <v>556.476</v>
      </c>
      <c r="T453" s="40">
        <v>5</v>
      </c>
      <c r="U453" s="40">
        <v>0.77</v>
      </c>
      <c r="V453" s="21">
        <v>1500</v>
      </c>
      <c r="W453" s="21">
        <v>688.70399999999995</v>
      </c>
      <c r="X453" s="32">
        <v>77.263000000000005</v>
      </c>
    </row>
    <row r="454" spans="17:24" x14ac:dyDescent="0.25">
      <c r="Q454" s="19" t="s">
        <v>198</v>
      </c>
      <c r="R454" s="20">
        <v>45434</v>
      </c>
      <c r="S454" s="40">
        <v>556.476</v>
      </c>
      <c r="T454" s="40">
        <v>5</v>
      </c>
      <c r="U454" s="40">
        <v>0.77</v>
      </c>
      <c r="V454" s="21">
        <v>2000</v>
      </c>
      <c r="W454" s="21">
        <v>720.39300000000003</v>
      </c>
      <c r="X454" s="32">
        <v>80.076999999999998</v>
      </c>
    </row>
    <row r="455" spans="17:24" x14ac:dyDescent="0.25">
      <c r="Q455" s="19" t="s">
        <v>198</v>
      </c>
      <c r="R455" s="20">
        <v>45434</v>
      </c>
      <c r="S455" s="40">
        <v>556.476</v>
      </c>
      <c r="T455" s="40">
        <v>5</v>
      </c>
      <c r="U455" s="40">
        <v>0.77</v>
      </c>
      <c r="V455" s="21">
        <v>2070</v>
      </c>
      <c r="W455" s="21">
        <v>726.17399999999998</v>
      </c>
      <c r="X455" s="32">
        <v>80.537000000000006</v>
      </c>
    </row>
    <row r="456" spans="17:24" ht="16.5" thickBot="1" x14ac:dyDescent="0.3">
      <c r="Q456" s="24" t="s">
        <v>198</v>
      </c>
      <c r="R456" s="25">
        <v>45434</v>
      </c>
      <c r="S456" s="41">
        <v>556.476</v>
      </c>
      <c r="T456" s="41">
        <v>5</v>
      </c>
      <c r="U456" s="41">
        <v>0.77</v>
      </c>
      <c r="V456" s="26">
        <v>2100</v>
      </c>
      <c r="W456" s="26">
        <v>726.42600000000004</v>
      </c>
      <c r="X456" s="33">
        <v>80.701999999999998</v>
      </c>
    </row>
    <row r="457" spans="17:24" x14ac:dyDescent="0.25">
      <c r="Q457" s="14" t="s">
        <v>120</v>
      </c>
      <c r="R457" s="15">
        <v>45478</v>
      </c>
      <c r="S457" s="39">
        <v>523.69919839999989</v>
      </c>
      <c r="T457" s="39">
        <v>8.4819999999999993</v>
      </c>
      <c r="U457" s="39">
        <v>8.7193999999999985</v>
      </c>
      <c r="V457" s="16">
        <v>0</v>
      </c>
      <c r="W457" s="16">
        <v>574.68899999999996</v>
      </c>
      <c r="X457" s="35">
        <v>34.503</v>
      </c>
    </row>
    <row r="458" spans="17:24" x14ac:dyDescent="0.25">
      <c r="Q458" s="19" t="s">
        <v>120</v>
      </c>
      <c r="R458" s="20">
        <v>45478</v>
      </c>
      <c r="S458" s="40">
        <v>523.69919839999989</v>
      </c>
      <c r="T458" s="40">
        <v>8.4819999999999993</v>
      </c>
      <c r="U458" s="40">
        <v>8.7193999999999985</v>
      </c>
      <c r="V458" s="21">
        <v>500</v>
      </c>
      <c r="W458" s="21">
        <v>630.40200000000004</v>
      </c>
      <c r="X458" s="32">
        <v>67.212000000000003</v>
      </c>
    </row>
    <row r="459" spans="17:24" x14ac:dyDescent="0.25">
      <c r="Q459" s="19" t="s">
        <v>120</v>
      </c>
      <c r="R459" s="20">
        <v>45478</v>
      </c>
      <c r="S459" s="40">
        <v>523.69919839999989</v>
      </c>
      <c r="T459" s="40">
        <v>8.4819999999999993</v>
      </c>
      <c r="U459" s="40">
        <v>8.7193999999999985</v>
      </c>
      <c r="V459" s="21">
        <v>1000</v>
      </c>
      <c r="W459" s="21">
        <v>677.80799999999999</v>
      </c>
      <c r="X459" s="32">
        <v>75.388999999999996</v>
      </c>
    </row>
    <row r="460" spans="17:24" x14ac:dyDescent="0.25">
      <c r="Q460" s="19" t="s">
        <v>120</v>
      </c>
      <c r="R460" s="20">
        <v>45478</v>
      </c>
      <c r="S460" s="40">
        <v>523.69919839999989</v>
      </c>
      <c r="T460" s="40">
        <v>8.4819999999999993</v>
      </c>
      <c r="U460" s="40">
        <v>8.7193999999999985</v>
      </c>
      <c r="V460" s="21">
        <v>1500</v>
      </c>
      <c r="W460" s="21">
        <v>721.423</v>
      </c>
      <c r="X460" s="32">
        <v>79.257999999999996</v>
      </c>
    </row>
    <row r="461" spans="17:24" x14ac:dyDescent="0.25">
      <c r="Q461" s="19" t="s">
        <v>120</v>
      </c>
      <c r="R461" s="20">
        <v>45478</v>
      </c>
      <c r="S461" s="40">
        <v>523.69919839999989</v>
      </c>
      <c r="T461" s="40">
        <v>8.4819999999999993</v>
      </c>
      <c r="U461" s="40">
        <v>8.7193999999999985</v>
      </c>
      <c r="V461" s="21">
        <v>2100</v>
      </c>
      <c r="W461" s="21">
        <v>774.59699999999998</v>
      </c>
      <c r="X461" s="32">
        <v>81.840999999999994</v>
      </c>
    </row>
    <row r="462" spans="17:24" x14ac:dyDescent="0.25">
      <c r="Q462" s="19" t="s">
        <v>120</v>
      </c>
      <c r="R462" s="20">
        <v>45478</v>
      </c>
      <c r="S462" s="40">
        <v>523.69919839999989</v>
      </c>
      <c r="T462" s="40">
        <v>8.4819999999999993</v>
      </c>
      <c r="U462" s="40">
        <v>8.7193999999999985</v>
      </c>
      <c r="V462" s="21">
        <v>2150</v>
      </c>
      <c r="W462" s="21">
        <v>775.899</v>
      </c>
      <c r="X462" s="32">
        <v>82.022999999999996</v>
      </c>
    </row>
    <row r="463" spans="17:24" ht="16.5" thickBot="1" x14ac:dyDescent="0.3">
      <c r="Q463" s="24" t="s">
        <v>120</v>
      </c>
      <c r="R463" s="25">
        <v>45478</v>
      </c>
      <c r="S463" s="41">
        <v>523.69919839999989</v>
      </c>
      <c r="T463" s="41">
        <v>8.4819999999999993</v>
      </c>
      <c r="U463" s="41">
        <v>8.7193999999999985</v>
      </c>
      <c r="V463" s="26">
        <v>2200</v>
      </c>
      <c r="W463" s="26">
        <v>766.82399999999996</v>
      </c>
      <c r="X463" s="33">
        <v>81.697999999999993</v>
      </c>
    </row>
    <row r="464" spans="17:24" x14ac:dyDescent="0.25">
      <c r="Q464" s="14" t="s">
        <v>191</v>
      </c>
      <c r="R464" s="15">
        <v>45398</v>
      </c>
      <c r="S464" s="39">
        <v>785.52471324999988</v>
      </c>
      <c r="T464" s="39">
        <v>7.5000000000000018</v>
      </c>
      <c r="U464" s="39">
        <v>0.7200000000000002</v>
      </c>
      <c r="V464" s="16">
        <v>0</v>
      </c>
      <c r="W464" s="16">
        <v>625.149</v>
      </c>
      <c r="X464" s="35">
        <v>26.635000000000002</v>
      </c>
    </row>
    <row r="465" spans="17:24" x14ac:dyDescent="0.25">
      <c r="Q465" s="19" t="s">
        <v>191</v>
      </c>
      <c r="R465" s="20">
        <v>45398</v>
      </c>
      <c r="S465" s="40">
        <v>785.52471324999988</v>
      </c>
      <c r="T465" s="40">
        <v>7.5000000000000018</v>
      </c>
      <c r="U465" s="40">
        <v>0.7200000000000002</v>
      </c>
      <c r="V465" s="21">
        <v>500</v>
      </c>
      <c r="W465" s="21">
        <v>665.61199999999997</v>
      </c>
      <c r="X465" s="32">
        <v>72.777000000000001</v>
      </c>
    </row>
    <row r="466" spans="17:24" x14ac:dyDescent="0.25">
      <c r="Q466" s="19" t="s">
        <v>191</v>
      </c>
      <c r="R466" s="20">
        <v>45398</v>
      </c>
      <c r="S466" s="40">
        <v>785.52471324999988</v>
      </c>
      <c r="T466" s="40">
        <v>7.5000000000000018</v>
      </c>
      <c r="U466" s="40">
        <v>0.7200000000000002</v>
      </c>
      <c r="V466" s="21">
        <v>1000</v>
      </c>
      <c r="W466" s="21">
        <v>706.55200000000002</v>
      </c>
      <c r="X466" s="32">
        <v>78.948999999999998</v>
      </c>
    </row>
    <row r="467" spans="17:24" x14ac:dyDescent="0.25">
      <c r="Q467" s="19" t="s">
        <v>191</v>
      </c>
      <c r="R467" s="20">
        <v>45398</v>
      </c>
      <c r="S467" s="40">
        <v>785.52471324999988</v>
      </c>
      <c r="T467" s="40">
        <v>7.5000000000000018</v>
      </c>
      <c r="U467" s="40">
        <v>0.7200000000000002</v>
      </c>
      <c r="V467" s="21">
        <v>1500</v>
      </c>
      <c r="W467" s="21">
        <v>747.69</v>
      </c>
      <c r="X467" s="32">
        <v>83.863</v>
      </c>
    </row>
    <row r="468" spans="17:24" x14ac:dyDescent="0.25">
      <c r="Q468" s="19" t="s">
        <v>191</v>
      </c>
      <c r="R468" s="20">
        <v>45398</v>
      </c>
      <c r="S468" s="40">
        <v>785.52471324999988</v>
      </c>
      <c r="T468" s="40">
        <v>7.5000000000000018</v>
      </c>
      <c r="U468" s="40">
        <v>0.7200000000000002</v>
      </c>
      <c r="V468" s="21">
        <v>1900</v>
      </c>
      <c r="W468" s="21">
        <v>780.84799999999996</v>
      </c>
      <c r="X468" s="32">
        <v>86.563000000000002</v>
      </c>
    </row>
    <row r="469" spans="17:24" ht="16.5" thickBot="1" x14ac:dyDescent="0.3">
      <c r="Q469" s="19" t="s">
        <v>191</v>
      </c>
      <c r="R469" s="20">
        <v>45398</v>
      </c>
      <c r="S469" s="40">
        <v>785.52471324999988</v>
      </c>
      <c r="T469" s="40">
        <v>7.5000000000000018</v>
      </c>
      <c r="U469" s="40">
        <v>0.7200000000000002</v>
      </c>
      <c r="V469" s="21">
        <v>1990</v>
      </c>
      <c r="W469" s="21">
        <v>788.423</v>
      </c>
      <c r="X469" s="32">
        <v>87.171000000000006</v>
      </c>
    </row>
    <row r="470" spans="17:24" x14ac:dyDescent="0.25">
      <c r="Q470" s="14" t="s">
        <v>233</v>
      </c>
      <c r="R470" s="15">
        <v>45381</v>
      </c>
      <c r="S470" s="43">
        <v>892.01300000000003</v>
      </c>
      <c r="T470" s="16">
        <v>5.76</v>
      </c>
      <c r="U470" s="16">
        <v>0.78</v>
      </c>
      <c r="V470" s="16">
        <v>0</v>
      </c>
      <c r="W470" s="39">
        <v>735</v>
      </c>
      <c r="X470" s="18">
        <v>27.7</v>
      </c>
    </row>
    <row r="471" spans="17:24" x14ac:dyDescent="0.25">
      <c r="Q471" s="19" t="s">
        <v>233</v>
      </c>
      <c r="R471" s="20">
        <v>45381</v>
      </c>
      <c r="S471" s="44">
        <v>892.01300000000003</v>
      </c>
      <c r="T471" s="21">
        <v>5.76</v>
      </c>
      <c r="U471" s="21">
        <v>0.78</v>
      </c>
      <c r="V471" s="21">
        <v>500</v>
      </c>
      <c r="W471" s="40">
        <v>783.41</v>
      </c>
      <c r="X471" s="23">
        <v>70.599999999999994</v>
      </c>
    </row>
    <row r="472" spans="17:24" x14ac:dyDescent="0.25">
      <c r="Q472" s="19" t="s">
        <v>233</v>
      </c>
      <c r="R472" s="20">
        <v>45381</v>
      </c>
      <c r="S472" s="44">
        <v>892.01300000000003</v>
      </c>
      <c r="T472" s="21">
        <v>5.76</v>
      </c>
      <c r="U472" s="21">
        <v>0.78</v>
      </c>
      <c r="V472" s="21">
        <v>1000</v>
      </c>
      <c r="W472" s="40">
        <v>829.97</v>
      </c>
      <c r="X472" s="23">
        <v>76.5</v>
      </c>
    </row>
    <row r="473" spans="17:24" x14ac:dyDescent="0.25">
      <c r="Q473" s="19" t="s">
        <v>233</v>
      </c>
      <c r="R473" s="20">
        <v>45381</v>
      </c>
      <c r="S473" s="44">
        <v>892.01300000000003</v>
      </c>
      <c r="T473" s="21">
        <v>5.76</v>
      </c>
      <c r="U473" s="21">
        <v>0.78</v>
      </c>
      <c r="V473" s="21">
        <v>1500</v>
      </c>
      <c r="W473" s="40">
        <v>878.22</v>
      </c>
      <c r="X473" s="23">
        <v>81.099999999999994</v>
      </c>
    </row>
    <row r="474" spans="17:24" x14ac:dyDescent="0.25">
      <c r="Q474" s="19" t="s">
        <v>233</v>
      </c>
      <c r="R474" s="20">
        <v>45381</v>
      </c>
      <c r="S474" s="44">
        <v>892.01300000000003</v>
      </c>
      <c r="T474" s="21">
        <v>5.76</v>
      </c>
      <c r="U474" s="21">
        <v>0.78</v>
      </c>
      <c r="V474" s="21">
        <v>2000</v>
      </c>
      <c r="W474" s="40">
        <v>926.48</v>
      </c>
      <c r="X474" s="23">
        <v>84.5</v>
      </c>
    </row>
    <row r="475" spans="17:24" ht="16.5" thickBot="1" x14ac:dyDescent="0.3">
      <c r="Q475" s="24" t="s">
        <v>233</v>
      </c>
      <c r="R475" s="25">
        <v>45381</v>
      </c>
      <c r="S475" s="45">
        <v>892.01300000000003</v>
      </c>
      <c r="T475" s="26">
        <v>5.76</v>
      </c>
      <c r="U475" s="26">
        <v>0.78</v>
      </c>
      <c r="V475" s="26">
        <v>2070</v>
      </c>
      <c r="W475" s="41">
        <v>932.49</v>
      </c>
      <c r="X475" s="28">
        <v>85</v>
      </c>
    </row>
    <row r="476" spans="17:24" x14ac:dyDescent="0.25">
      <c r="Q476" s="14" t="s">
        <v>173</v>
      </c>
      <c r="R476" s="15">
        <v>45340</v>
      </c>
      <c r="S476" s="43">
        <v>775.12599999999998</v>
      </c>
      <c r="T476" s="16">
        <v>10.4</v>
      </c>
      <c r="U476" s="16">
        <v>1.6</v>
      </c>
      <c r="V476" s="16">
        <v>2175</v>
      </c>
      <c r="W476" s="16">
        <v>824.26700000000005</v>
      </c>
      <c r="X476" s="35">
        <v>89.081000000000003</v>
      </c>
    </row>
    <row r="477" spans="17:24" x14ac:dyDescent="0.25">
      <c r="Q477" s="19" t="s">
        <v>173</v>
      </c>
      <c r="R477" s="20">
        <v>45340</v>
      </c>
      <c r="S477" s="44">
        <v>775.12599999999998</v>
      </c>
      <c r="T477" s="21">
        <v>10.4</v>
      </c>
      <c r="U477" s="21">
        <v>1.6</v>
      </c>
      <c r="V477" s="21">
        <v>2125</v>
      </c>
      <c r="W477" s="21">
        <v>819.85</v>
      </c>
      <c r="X477" s="32">
        <v>88.894999999999996</v>
      </c>
    </row>
    <row r="478" spans="17:24" x14ac:dyDescent="0.25">
      <c r="Q478" s="19" t="s">
        <v>173</v>
      </c>
      <c r="R478" s="20">
        <v>45340</v>
      </c>
      <c r="S478" s="44">
        <v>775.12599999999998</v>
      </c>
      <c r="T478" s="21">
        <v>10.4</v>
      </c>
      <c r="U478" s="21">
        <v>1.6</v>
      </c>
      <c r="V478" s="21">
        <v>2075</v>
      </c>
      <c r="W478" s="21">
        <v>815.89800000000002</v>
      </c>
      <c r="X478" s="32">
        <v>88.644999999999996</v>
      </c>
    </row>
    <row r="479" spans="17:24" x14ac:dyDescent="0.25">
      <c r="Q479" s="19" t="s">
        <v>173</v>
      </c>
      <c r="R479" s="20">
        <v>45340</v>
      </c>
      <c r="S479" s="44">
        <v>775.12599999999998</v>
      </c>
      <c r="T479" s="21">
        <v>10.4</v>
      </c>
      <c r="U479" s="21">
        <v>1.6</v>
      </c>
      <c r="V479" s="21">
        <v>1000</v>
      </c>
      <c r="W479" s="21">
        <v>724.11099999999999</v>
      </c>
      <c r="X479" s="32">
        <v>81.795000000000002</v>
      </c>
    </row>
    <row r="480" spans="17:24" x14ac:dyDescent="0.25">
      <c r="Q480" s="19" t="s">
        <v>173</v>
      </c>
      <c r="R480" s="20">
        <v>45340</v>
      </c>
      <c r="S480" s="44">
        <v>775.12599999999998</v>
      </c>
      <c r="T480" s="21">
        <v>10.4</v>
      </c>
      <c r="U480" s="21">
        <v>1.6</v>
      </c>
      <c r="V480" s="21">
        <v>0</v>
      </c>
      <c r="W480" s="21">
        <v>643.22400000000005</v>
      </c>
      <c r="X480" s="32">
        <v>46.243000000000002</v>
      </c>
    </row>
    <row r="481" spans="17:24" x14ac:dyDescent="0.25">
      <c r="Q481" s="19" t="s">
        <v>173</v>
      </c>
      <c r="R481" s="20">
        <v>45341</v>
      </c>
      <c r="S481" s="44">
        <v>507.774</v>
      </c>
      <c r="T481" s="21">
        <v>5.8</v>
      </c>
      <c r="U481" s="21">
        <v>0.48</v>
      </c>
      <c r="V481" s="21">
        <v>2175</v>
      </c>
      <c r="W481" s="21">
        <v>873.65499999999997</v>
      </c>
      <c r="X481" s="32">
        <v>89.941000000000003</v>
      </c>
    </row>
    <row r="482" spans="17:24" x14ac:dyDescent="0.25">
      <c r="Q482" s="19" t="s">
        <v>173</v>
      </c>
      <c r="R482" s="20">
        <v>45341</v>
      </c>
      <c r="S482" s="44">
        <v>507.774</v>
      </c>
      <c r="T482" s="21">
        <v>5.8</v>
      </c>
      <c r="U482" s="21">
        <v>0.48</v>
      </c>
      <c r="V482" s="21">
        <v>2125</v>
      </c>
      <c r="W482" s="21">
        <v>870.096</v>
      </c>
      <c r="X482" s="32">
        <v>89.715000000000003</v>
      </c>
    </row>
    <row r="483" spans="17:24" x14ac:dyDescent="0.25">
      <c r="Q483" s="19" t="s">
        <v>173</v>
      </c>
      <c r="R483" s="20">
        <v>45341</v>
      </c>
      <c r="S483" s="44">
        <v>507.774</v>
      </c>
      <c r="T483" s="21">
        <v>5.8</v>
      </c>
      <c r="U483" s="21">
        <v>0.48</v>
      </c>
      <c r="V483" s="21">
        <v>2075</v>
      </c>
      <c r="W483" s="21">
        <v>866.33600000000001</v>
      </c>
      <c r="X483" s="32">
        <v>89.438000000000002</v>
      </c>
    </row>
    <row r="484" spans="17:24" x14ac:dyDescent="0.25">
      <c r="Q484" s="19" t="s">
        <v>173</v>
      </c>
      <c r="R484" s="20">
        <v>45341</v>
      </c>
      <c r="S484" s="44">
        <v>507.774</v>
      </c>
      <c r="T484" s="21">
        <v>5.8</v>
      </c>
      <c r="U484" s="21">
        <v>0.48</v>
      </c>
      <c r="V484" s="21">
        <v>1000</v>
      </c>
      <c r="W484" s="21">
        <v>788.10400000000004</v>
      </c>
      <c r="X484" s="32">
        <v>81.903999999999996</v>
      </c>
    </row>
    <row r="485" spans="17:24" ht="16.5" thickBot="1" x14ac:dyDescent="0.3">
      <c r="Q485" s="24" t="s">
        <v>173</v>
      </c>
      <c r="R485" s="25">
        <v>45341</v>
      </c>
      <c r="S485" s="45">
        <v>507.774</v>
      </c>
      <c r="T485" s="26">
        <v>5.8</v>
      </c>
      <c r="U485" s="26">
        <v>0.48</v>
      </c>
      <c r="V485" s="26">
        <v>0</v>
      </c>
      <c r="W485" s="26">
        <v>717.20299999999997</v>
      </c>
      <c r="X485" s="33">
        <v>46.186</v>
      </c>
    </row>
    <row r="486" spans="17:24" x14ac:dyDescent="0.25">
      <c r="Q486" s="14" t="s">
        <v>122</v>
      </c>
      <c r="R486" s="15">
        <v>45451</v>
      </c>
      <c r="S486" s="39">
        <v>1023.8558468000001</v>
      </c>
      <c r="T486" s="39">
        <v>11.327999999999998</v>
      </c>
      <c r="U486" s="39">
        <v>0.92159999999999975</v>
      </c>
      <c r="V486" s="16">
        <v>0</v>
      </c>
      <c r="W486" s="16">
        <v>662.61099999999999</v>
      </c>
      <c r="X486" s="35">
        <v>38.189</v>
      </c>
    </row>
    <row r="487" spans="17:24" x14ac:dyDescent="0.25">
      <c r="Q487" s="19" t="s">
        <v>122</v>
      </c>
      <c r="R487" s="20">
        <v>45451</v>
      </c>
      <c r="S487" s="40">
        <v>1023.8558468000001</v>
      </c>
      <c r="T487" s="40">
        <v>11.327999999999998</v>
      </c>
      <c r="U487" s="40">
        <v>0.92159999999999975</v>
      </c>
      <c r="V487" s="21">
        <v>500</v>
      </c>
      <c r="W487" s="21">
        <v>715.98199999999997</v>
      </c>
      <c r="X487" s="32">
        <v>73.423000000000002</v>
      </c>
    </row>
    <row r="488" spans="17:24" x14ac:dyDescent="0.25">
      <c r="Q488" s="19" t="s">
        <v>122</v>
      </c>
      <c r="R488" s="20">
        <v>45451</v>
      </c>
      <c r="S488" s="40">
        <v>1023.8558468000001</v>
      </c>
      <c r="T488" s="40">
        <v>11.327999999999998</v>
      </c>
      <c r="U488" s="40">
        <v>0.92159999999999975</v>
      </c>
      <c r="V488" s="21">
        <v>1000</v>
      </c>
      <c r="W488" s="21">
        <v>766.97299999999996</v>
      </c>
      <c r="X488" s="32">
        <v>79.067999999999998</v>
      </c>
    </row>
    <row r="489" spans="17:24" x14ac:dyDescent="0.25">
      <c r="Q489" s="19" t="s">
        <v>122</v>
      </c>
      <c r="R489" s="20">
        <v>45451</v>
      </c>
      <c r="S489" s="40">
        <v>1023.8558468000001</v>
      </c>
      <c r="T489" s="40">
        <v>11.327999999999998</v>
      </c>
      <c r="U489" s="40">
        <v>0.92159999999999975</v>
      </c>
      <c r="V489" s="21">
        <v>1500</v>
      </c>
      <c r="W489" s="21">
        <v>818.12199999999996</v>
      </c>
      <c r="X489" s="32">
        <v>83.724999999999994</v>
      </c>
    </row>
    <row r="490" spans="17:24" x14ac:dyDescent="0.25">
      <c r="Q490" s="19" t="s">
        <v>122</v>
      </c>
      <c r="R490" s="20">
        <v>45451</v>
      </c>
      <c r="S490" s="40">
        <v>1023.8558468000001</v>
      </c>
      <c r="T490" s="40">
        <v>11.327999999999998</v>
      </c>
      <c r="U490" s="40">
        <v>0.92159999999999975</v>
      </c>
      <c r="V490" s="21">
        <v>2000</v>
      </c>
      <c r="W490" s="21">
        <v>872.12800000000004</v>
      </c>
      <c r="X490" s="32">
        <v>87.332999999999998</v>
      </c>
    </row>
    <row r="491" spans="17:24" x14ac:dyDescent="0.25">
      <c r="Q491" s="19" t="s">
        <v>122</v>
      </c>
      <c r="R491" s="20">
        <v>45451</v>
      </c>
      <c r="S491" s="40">
        <v>1023.8558468000001</v>
      </c>
      <c r="T491" s="40">
        <v>11.327999999999998</v>
      </c>
      <c r="U491" s="40">
        <v>0.92159999999999975</v>
      </c>
      <c r="V491" s="21">
        <v>2100</v>
      </c>
      <c r="W491" s="21">
        <v>881.19299999999998</v>
      </c>
      <c r="X491" s="32">
        <v>88.045000000000002</v>
      </c>
    </row>
    <row r="492" spans="17:24" ht="16.5" thickBot="1" x14ac:dyDescent="0.3">
      <c r="Q492" s="24" t="s">
        <v>122</v>
      </c>
      <c r="R492" s="25">
        <v>45451</v>
      </c>
      <c r="S492" s="41">
        <v>1023.8558468000001</v>
      </c>
      <c r="T492" s="41">
        <v>11.327999999999998</v>
      </c>
      <c r="U492" s="41">
        <v>0.92159999999999975</v>
      </c>
      <c r="V492" s="26">
        <v>2150</v>
      </c>
      <c r="W492" s="26">
        <v>887.96100000000001</v>
      </c>
      <c r="X492" s="33">
        <v>88.447000000000003</v>
      </c>
    </row>
    <row r="493" spans="17:24" x14ac:dyDescent="0.25">
      <c r="Q493" s="14" t="s">
        <v>167</v>
      </c>
      <c r="R493" s="15">
        <v>45410</v>
      </c>
      <c r="S493" s="39">
        <v>975.43299999999999</v>
      </c>
      <c r="T493" s="39">
        <v>14.69</v>
      </c>
      <c r="U493" s="39">
        <v>0.8</v>
      </c>
      <c r="V493" s="16">
        <v>0</v>
      </c>
      <c r="W493" s="16">
        <v>666.96100000000001</v>
      </c>
      <c r="X493" s="35">
        <v>20.838999999999999</v>
      </c>
    </row>
    <row r="494" spans="17:24" x14ac:dyDescent="0.25">
      <c r="Q494" s="19" t="s">
        <v>167</v>
      </c>
      <c r="R494" s="20">
        <v>45410</v>
      </c>
      <c r="S494" s="40">
        <v>975.43299999999999</v>
      </c>
      <c r="T494" s="40">
        <v>14.69</v>
      </c>
      <c r="U494" s="40">
        <v>0.8</v>
      </c>
      <c r="V494" s="21">
        <v>500</v>
      </c>
      <c r="W494" s="21">
        <v>716.28700000000003</v>
      </c>
      <c r="X494" s="32">
        <v>71.932000000000002</v>
      </c>
    </row>
    <row r="495" spans="17:24" x14ac:dyDescent="0.25">
      <c r="Q495" s="19" t="s">
        <v>167</v>
      </c>
      <c r="R495" s="20">
        <v>45410</v>
      </c>
      <c r="S495" s="40">
        <v>975.43299999999999</v>
      </c>
      <c r="T495" s="40">
        <v>14.69</v>
      </c>
      <c r="U495" s="40">
        <v>0.8</v>
      </c>
      <c r="V495" s="21">
        <v>1000</v>
      </c>
      <c r="W495" s="21">
        <v>766.125</v>
      </c>
      <c r="X495" s="32">
        <v>78.143000000000001</v>
      </c>
    </row>
    <row r="496" spans="17:24" x14ac:dyDescent="0.25">
      <c r="Q496" s="19" t="s">
        <v>167</v>
      </c>
      <c r="R496" s="20">
        <v>45410</v>
      </c>
      <c r="S496" s="40">
        <v>975.43299999999999</v>
      </c>
      <c r="T496" s="40">
        <v>14.69</v>
      </c>
      <c r="U496" s="40">
        <v>0.8</v>
      </c>
      <c r="V496" s="21">
        <v>1500</v>
      </c>
      <c r="W496" s="21">
        <v>814.09799999999996</v>
      </c>
      <c r="X496" s="32">
        <v>82.552000000000007</v>
      </c>
    </row>
    <row r="497" spans="17:24" x14ac:dyDescent="0.25">
      <c r="Q497" s="19" t="s">
        <v>167</v>
      </c>
      <c r="R497" s="20">
        <v>45410</v>
      </c>
      <c r="S497" s="40">
        <v>975.43299999999999</v>
      </c>
      <c r="T497" s="40">
        <v>14.69</v>
      </c>
      <c r="U497" s="40">
        <v>0.8</v>
      </c>
      <c r="V497" s="21">
        <v>2010</v>
      </c>
      <c r="W497" s="21">
        <v>864.51099999999997</v>
      </c>
      <c r="X497" s="32">
        <v>86.162000000000006</v>
      </c>
    </row>
    <row r="498" spans="17:24" x14ac:dyDescent="0.25">
      <c r="Q498" s="19" t="s">
        <v>167</v>
      </c>
      <c r="R498" s="20">
        <v>45410</v>
      </c>
      <c r="S498" s="40">
        <v>975.43299999999999</v>
      </c>
      <c r="T498" s="40">
        <v>14.69</v>
      </c>
      <c r="U498" s="40">
        <v>0.8</v>
      </c>
      <c r="V498" s="21">
        <v>2060</v>
      </c>
      <c r="W498" s="21">
        <v>869.24099999999999</v>
      </c>
      <c r="X498" s="32">
        <v>86.715999999999994</v>
      </c>
    </row>
    <row r="499" spans="17:24" ht="16.5" thickBot="1" x14ac:dyDescent="0.3">
      <c r="Q499" s="24" t="s">
        <v>167</v>
      </c>
      <c r="R499" s="25">
        <v>45410</v>
      </c>
      <c r="S499" s="41">
        <v>975.43299999999999</v>
      </c>
      <c r="T499" s="41">
        <v>14.69</v>
      </c>
      <c r="U499" s="41">
        <v>0.8</v>
      </c>
      <c r="V499" s="26">
        <v>2110</v>
      </c>
      <c r="W499" s="26">
        <v>874.21</v>
      </c>
      <c r="X499" s="33">
        <v>87.15</v>
      </c>
    </row>
    <row r="500" spans="17:24" x14ac:dyDescent="0.25">
      <c r="Q500" s="14" t="s">
        <v>181</v>
      </c>
      <c r="R500" s="15">
        <v>45465</v>
      </c>
      <c r="S500" s="39">
        <v>1088.655972</v>
      </c>
      <c r="T500" s="39">
        <v>14.399999999999997</v>
      </c>
      <c r="U500" s="39">
        <v>0.76799999999999979</v>
      </c>
      <c r="V500" s="16">
        <v>0</v>
      </c>
      <c r="W500" s="16">
        <v>668.87099999999998</v>
      </c>
      <c r="X500" s="35">
        <v>40.231000000000002</v>
      </c>
    </row>
    <row r="501" spans="17:24" x14ac:dyDescent="0.25">
      <c r="Q501" s="19" t="s">
        <v>181</v>
      </c>
      <c r="R501" s="20">
        <v>45465</v>
      </c>
      <c r="S501" s="40">
        <v>1088.655972</v>
      </c>
      <c r="T501" s="40">
        <v>14.399999999999997</v>
      </c>
      <c r="U501" s="40">
        <v>0.76799999999999979</v>
      </c>
      <c r="V501" s="21">
        <v>500</v>
      </c>
      <c r="W501" s="21">
        <v>723.63800000000003</v>
      </c>
      <c r="X501" s="32">
        <v>64.503</v>
      </c>
    </row>
    <row r="502" spans="17:24" x14ac:dyDescent="0.25">
      <c r="Q502" s="19" t="s">
        <v>181</v>
      </c>
      <c r="R502" s="20">
        <v>45465</v>
      </c>
      <c r="S502" s="40">
        <v>1088.655972</v>
      </c>
      <c r="T502" s="40">
        <v>14.399999999999997</v>
      </c>
      <c r="U502" s="40">
        <v>0.76799999999999979</v>
      </c>
      <c r="V502" s="21">
        <v>1000</v>
      </c>
      <c r="W502" s="21">
        <v>779.20299999999997</v>
      </c>
      <c r="X502" s="32">
        <v>73.811000000000007</v>
      </c>
    </row>
    <row r="503" spans="17:24" x14ac:dyDescent="0.25">
      <c r="Q503" s="19" t="s">
        <v>181</v>
      </c>
      <c r="R503" s="20">
        <v>45465</v>
      </c>
      <c r="S503" s="40">
        <v>1088.655972</v>
      </c>
      <c r="T503" s="40">
        <v>14.399999999999997</v>
      </c>
      <c r="U503" s="40">
        <v>0.76799999999999979</v>
      </c>
      <c r="V503" s="21">
        <v>1500</v>
      </c>
      <c r="W503" s="21">
        <v>833.29600000000005</v>
      </c>
      <c r="X503" s="32">
        <v>79.647999999999996</v>
      </c>
    </row>
    <row r="504" spans="17:24" x14ac:dyDescent="0.25">
      <c r="Q504" s="19" t="s">
        <v>181</v>
      </c>
      <c r="R504" s="20">
        <v>45465</v>
      </c>
      <c r="S504" s="40">
        <v>1088.655972</v>
      </c>
      <c r="T504" s="40">
        <v>14.399999999999997</v>
      </c>
      <c r="U504" s="40">
        <v>0.76799999999999979</v>
      </c>
      <c r="V504" s="21">
        <v>2110</v>
      </c>
      <c r="W504" s="21">
        <v>898.65499999999997</v>
      </c>
      <c r="X504" s="32">
        <v>84.668000000000006</v>
      </c>
    </row>
    <row r="505" spans="17:24" ht="16.5" thickBot="1" x14ac:dyDescent="0.3">
      <c r="Q505" s="19" t="s">
        <v>181</v>
      </c>
      <c r="R505" s="20">
        <v>45465</v>
      </c>
      <c r="S505" s="40">
        <v>1088.655972</v>
      </c>
      <c r="T505" s="40">
        <v>14.399999999999997</v>
      </c>
      <c r="U505" s="40">
        <v>0.76799999999999979</v>
      </c>
      <c r="V505" s="21">
        <v>2160</v>
      </c>
      <c r="W505" s="21">
        <v>904.32</v>
      </c>
      <c r="X505" s="32">
        <v>87.766000000000005</v>
      </c>
    </row>
    <row r="506" spans="17:24" x14ac:dyDescent="0.25">
      <c r="Q506" s="14" t="s">
        <v>229</v>
      </c>
      <c r="R506" s="15">
        <v>45422</v>
      </c>
      <c r="S506" s="43">
        <v>1098.3119999999999</v>
      </c>
      <c r="T506" s="16">
        <v>8.76</v>
      </c>
      <c r="U506" s="16">
        <v>0.76800000000000002</v>
      </c>
      <c r="V506" s="16">
        <v>0</v>
      </c>
      <c r="W506" s="39">
        <v>591.64</v>
      </c>
      <c r="X506" s="18">
        <v>29.983000000000001</v>
      </c>
    </row>
    <row r="507" spans="17:24" x14ac:dyDescent="0.25">
      <c r="Q507" s="19" t="s">
        <v>229</v>
      </c>
      <c r="R507" s="20">
        <v>45422</v>
      </c>
      <c r="S507" s="44">
        <v>1098.3119999999999</v>
      </c>
      <c r="T507" s="21">
        <v>8.76</v>
      </c>
      <c r="U507" s="21">
        <v>0.76800000000000002</v>
      </c>
      <c r="V507" s="21">
        <v>500</v>
      </c>
      <c r="W507" s="40">
        <v>733.42600000000004</v>
      </c>
      <c r="X507" s="23">
        <v>75.631</v>
      </c>
    </row>
    <row r="508" spans="17:24" x14ac:dyDescent="0.25">
      <c r="Q508" s="19" t="s">
        <v>229</v>
      </c>
      <c r="R508" s="20">
        <v>45422</v>
      </c>
      <c r="S508" s="44">
        <v>1098.3119999999999</v>
      </c>
      <c r="T508" s="21">
        <v>8.76</v>
      </c>
      <c r="U508" s="21">
        <v>0.76800000000000002</v>
      </c>
      <c r="V508" s="21">
        <v>1000</v>
      </c>
      <c r="W508" s="40">
        <v>787.274</v>
      </c>
      <c r="X508" s="23">
        <v>81.149000000000001</v>
      </c>
    </row>
    <row r="509" spans="17:24" x14ac:dyDescent="0.25">
      <c r="Q509" s="19" t="s">
        <v>229</v>
      </c>
      <c r="R509" s="20">
        <v>45422</v>
      </c>
      <c r="S509" s="44">
        <v>1098.3119999999999</v>
      </c>
      <c r="T509" s="21">
        <v>8.76</v>
      </c>
      <c r="U509" s="21">
        <v>0.76800000000000002</v>
      </c>
      <c r="V509" s="21">
        <v>1500</v>
      </c>
      <c r="W509" s="40">
        <v>839.74699999999996</v>
      </c>
      <c r="X509" s="23">
        <v>85.58</v>
      </c>
    </row>
    <row r="510" spans="17:24" x14ac:dyDescent="0.25">
      <c r="Q510" s="19" t="s">
        <v>229</v>
      </c>
      <c r="R510" s="20">
        <v>45422</v>
      </c>
      <c r="S510" s="44">
        <v>1098.3119999999999</v>
      </c>
      <c r="T510" s="21">
        <v>8.76</v>
      </c>
      <c r="U510" s="21">
        <v>0.76800000000000002</v>
      </c>
      <c r="V510" s="21">
        <v>2045</v>
      </c>
      <c r="W510" s="40">
        <v>895.31799999999998</v>
      </c>
      <c r="X510" s="23">
        <v>89.396000000000001</v>
      </c>
    </row>
    <row r="511" spans="17:24" x14ac:dyDescent="0.25">
      <c r="Q511" s="19" t="s">
        <v>229</v>
      </c>
      <c r="R511" s="20">
        <v>45422</v>
      </c>
      <c r="S511" s="44">
        <v>1098.3119999999999</v>
      </c>
      <c r="T511" s="21">
        <v>8.76</v>
      </c>
      <c r="U511" s="21">
        <v>0.76800000000000002</v>
      </c>
      <c r="V511" s="21">
        <v>2095</v>
      </c>
      <c r="W511" s="40">
        <v>900.16099999999994</v>
      </c>
      <c r="X511" s="23">
        <v>89.775000000000006</v>
      </c>
    </row>
    <row r="512" spans="17:24" ht="16.5" thickBot="1" x14ac:dyDescent="0.3">
      <c r="Q512" s="24" t="s">
        <v>229</v>
      </c>
      <c r="R512" s="25">
        <v>45422</v>
      </c>
      <c r="S512" s="45">
        <v>1098.3119999999999</v>
      </c>
      <c r="T512" s="26">
        <v>8.76</v>
      </c>
      <c r="U512" s="26">
        <v>0.76800000000000002</v>
      </c>
      <c r="V512" s="26">
        <v>2145</v>
      </c>
      <c r="W512" s="41">
        <v>906.69100000000003</v>
      </c>
      <c r="X512" s="28">
        <v>90.197000000000003</v>
      </c>
    </row>
    <row r="513" spans="17:24" x14ac:dyDescent="0.25">
      <c r="Q513" s="14" t="s">
        <v>168</v>
      </c>
      <c r="R513" s="15">
        <v>45364</v>
      </c>
      <c r="S513" s="43">
        <v>881.84199999999998</v>
      </c>
      <c r="T513" s="16">
        <v>8.64</v>
      </c>
      <c r="U513" s="16">
        <v>0.72</v>
      </c>
      <c r="V513" s="16">
        <v>0</v>
      </c>
      <c r="W513" s="16">
        <v>610.83100000000002</v>
      </c>
      <c r="X513" s="35">
        <v>23.234999999999999</v>
      </c>
    </row>
    <row r="514" spans="17:24" x14ac:dyDescent="0.25">
      <c r="Q514" s="19" t="s">
        <v>168</v>
      </c>
      <c r="R514" s="20">
        <v>45364</v>
      </c>
      <c r="S514" s="44">
        <v>881.84199999999998</v>
      </c>
      <c r="T514" s="21">
        <v>8.64</v>
      </c>
      <c r="U514" s="21">
        <v>0.72</v>
      </c>
      <c r="V514" s="21">
        <v>1000</v>
      </c>
      <c r="W514" s="21">
        <v>691.71100000000001</v>
      </c>
      <c r="X514" s="32">
        <v>44.85</v>
      </c>
    </row>
    <row r="515" spans="17:24" x14ac:dyDescent="0.25">
      <c r="Q515" s="19" t="s">
        <v>168</v>
      </c>
      <c r="R515" s="20">
        <v>45364</v>
      </c>
      <c r="S515" s="44">
        <v>881.84199999999998</v>
      </c>
      <c r="T515" s="21">
        <v>8.64</v>
      </c>
      <c r="U515" s="21">
        <v>0.72</v>
      </c>
      <c r="V515" s="21">
        <v>2090</v>
      </c>
      <c r="W515" s="21">
        <v>787.63400000000001</v>
      </c>
      <c r="X515" s="32">
        <v>71.144000000000005</v>
      </c>
    </row>
    <row r="516" spans="17:24" x14ac:dyDescent="0.25">
      <c r="Q516" s="19" t="s">
        <v>168</v>
      </c>
      <c r="R516" s="20">
        <v>45364</v>
      </c>
      <c r="S516" s="44">
        <v>881.84199999999998</v>
      </c>
      <c r="T516" s="21">
        <v>8.64</v>
      </c>
      <c r="U516" s="21">
        <v>0.72</v>
      </c>
      <c r="V516" s="21">
        <v>2140</v>
      </c>
      <c r="W516" s="21">
        <v>800.86800000000005</v>
      </c>
      <c r="X516" s="32">
        <v>76.408000000000001</v>
      </c>
    </row>
    <row r="517" spans="17:24" x14ac:dyDescent="0.25">
      <c r="Q517" s="19" t="s">
        <v>168</v>
      </c>
      <c r="R517" s="20">
        <v>45364</v>
      </c>
      <c r="S517" s="44">
        <v>881.84199999999998</v>
      </c>
      <c r="T517" s="21">
        <v>8.64</v>
      </c>
      <c r="U517" s="21">
        <v>0.72</v>
      </c>
      <c r="V517" s="21">
        <v>2190</v>
      </c>
      <c r="W517" s="21">
        <v>803.75199999999995</v>
      </c>
      <c r="X517" s="32">
        <v>87.566999999999993</v>
      </c>
    </row>
    <row r="518" spans="17:24" x14ac:dyDescent="0.25">
      <c r="Q518" s="19" t="s">
        <v>168</v>
      </c>
      <c r="R518" s="20">
        <v>45364</v>
      </c>
      <c r="S518" s="44">
        <v>528</v>
      </c>
      <c r="T518" s="21">
        <v>6.08</v>
      </c>
      <c r="U518" s="21">
        <v>0.4</v>
      </c>
      <c r="V518" s="21">
        <v>2190</v>
      </c>
      <c r="W518" s="21">
        <v>922.47900000000004</v>
      </c>
      <c r="X518" s="32">
        <v>91.103999999999999</v>
      </c>
    </row>
    <row r="519" spans="17:24" x14ac:dyDescent="0.25">
      <c r="Q519" s="19" t="s">
        <v>168</v>
      </c>
      <c r="R519" s="20">
        <v>45364</v>
      </c>
      <c r="S519" s="44">
        <v>528</v>
      </c>
      <c r="T519" s="21">
        <v>6.08</v>
      </c>
      <c r="U519" s="21">
        <v>0.4</v>
      </c>
      <c r="V519" s="21">
        <v>2140</v>
      </c>
      <c r="W519" s="21">
        <v>918.36500000000001</v>
      </c>
      <c r="X519" s="32">
        <v>91.016999999999996</v>
      </c>
    </row>
    <row r="520" spans="17:24" x14ac:dyDescent="0.25">
      <c r="Q520" s="19" t="s">
        <v>168</v>
      </c>
      <c r="R520" s="20">
        <v>45364</v>
      </c>
      <c r="S520" s="44">
        <v>528</v>
      </c>
      <c r="T520" s="21">
        <v>6.08</v>
      </c>
      <c r="U520" s="21">
        <v>0.4</v>
      </c>
      <c r="V520" s="21">
        <v>2090</v>
      </c>
      <c r="W520" s="21">
        <v>914.572</v>
      </c>
      <c r="X520" s="32">
        <v>90.789000000000001</v>
      </c>
    </row>
    <row r="521" spans="17:24" x14ac:dyDescent="0.25">
      <c r="Q521" s="19" t="s">
        <v>168</v>
      </c>
      <c r="R521" s="20">
        <v>45364</v>
      </c>
      <c r="S521" s="44">
        <v>528</v>
      </c>
      <c r="T521" s="21">
        <v>6.08</v>
      </c>
      <c r="U521" s="21">
        <v>0.4</v>
      </c>
      <c r="V521" s="21">
        <v>1000</v>
      </c>
      <c r="W521" s="21">
        <v>836.40200000000004</v>
      </c>
      <c r="X521" s="32">
        <v>87.783000000000001</v>
      </c>
    </row>
    <row r="522" spans="17:24" ht="16.5" thickBot="1" x14ac:dyDescent="0.3">
      <c r="Q522" s="24" t="s">
        <v>168</v>
      </c>
      <c r="R522" s="25">
        <v>45364</v>
      </c>
      <c r="S522" s="45">
        <v>528</v>
      </c>
      <c r="T522" s="26">
        <v>6.08</v>
      </c>
      <c r="U522" s="26">
        <v>0.4</v>
      </c>
      <c r="V522" s="26">
        <v>0</v>
      </c>
      <c r="W522" s="26">
        <v>766.89300000000003</v>
      </c>
      <c r="X522" s="33">
        <v>78.049000000000007</v>
      </c>
    </row>
    <row r="523" spans="17:24" x14ac:dyDescent="0.25">
      <c r="Q523" s="14" t="s">
        <v>150</v>
      </c>
      <c r="R523" s="15">
        <v>45374</v>
      </c>
      <c r="S523" s="39">
        <v>920.39200000000005</v>
      </c>
      <c r="T523" s="39">
        <v>12.6</v>
      </c>
      <c r="U523" s="39">
        <v>0.9</v>
      </c>
      <c r="V523" s="16">
        <v>0</v>
      </c>
      <c r="W523" s="16">
        <v>697.41200000000003</v>
      </c>
      <c r="X523" s="35">
        <v>28.023</v>
      </c>
    </row>
    <row r="524" spans="17:24" x14ac:dyDescent="0.25">
      <c r="Q524" s="19" t="s">
        <v>150</v>
      </c>
      <c r="R524" s="20">
        <v>45374</v>
      </c>
      <c r="S524" s="40">
        <v>920.39200000000005</v>
      </c>
      <c r="T524" s="40">
        <v>12.6</v>
      </c>
      <c r="U524" s="40">
        <v>0.9</v>
      </c>
      <c r="V524" s="21">
        <v>500</v>
      </c>
      <c r="W524" s="21">
        <v>744.32500000000005</v>
      </c>
      <c r="X524" s="32">
        <v>70.998000000000005</v>
      </c>
    </row>
    <row r="525" spans="17:24" x14ac:dyDescent="0.25">
      <c r="Q525" s="19" t="s">
        <v>150</v>
      </c>
      <c r="R525" s="20">
        <v>45374</v>
      </c>
      <c r="S525" s="40">
        <v>920.39200000000005</v>
      </c>
      <c r="T525" s="40">
        <v>12.6</v>
      </c>
      <c r="U525" s="40">
        <v>0.9</v>
      </c>
      <c r="V525" s="21">
        <v>1000</v>
      </c>
      <c r="W525" s="21">
        <v>791.64700000000005</v>
      </c>
      <c r="X525" s="32">
        <v>77.393000000000001</v>
      </c>
    </row>
    <row r="526" spans="17:24" x14ac:dyDescent="0.25">
      <c r="Q526" s="19" t="s">
        <v>150</v>
      </c>
      <c r="R526" s="20">
        <v>45374</v>
      </c>
      <c r="S526" s="40">
        <v>920.39200000000005</v>
      </c>
      <c r="T526" s="40">
        <v>12.6</v>
      </c>
      <c r="U526" s="40">
        <v>0.9</v>
      </c>
      <c r="V526" s="21">
        <v>1500</v>
      </c>
      <c r="W526" s="21">
        <v>838.41700000000003</v>
      </c>
      <c r="X526" s="32">
        <v>81.992000000000004</v>
      </c>
    </row>
    <row r="527" spans="17:24" x14ac:dyDescent="0.25">
      <c r="Q527" s="19" t="s">
        <v>150</v>
      </c>
      <c r="R527" s="20">
        <v>45374</v>
      </c>
      <c r="S527" s="40">
        <v>920.39200000000005</v>
      </c>
      <c r="T527" s="40">
        <v>12.6</v>
      </c>
      <c r="U527" s="40">
        <v>0.9</v>
      </c>
      <c r="V527" s="21">
        <v>2000</v>
      </c>
      <c r="W527" s="21">
        <v>886.14300000000003</v>
      </c>
      <c r="X527" s="32">
        <v>85.518000000000001</v>
      </c>
    </row>
    <row r="528" spans="17:24" ht="16.5" thickBot="1" x14ac:dyDescent="0.3">
      <c r="Q528" s="19" t="s">
        <v>150</v>
      </c>
      <c r="R528" s="20">
        <v>45374</v>
      </c>
      <c r="S528" s="40">
        <v>920.39200000000005</v>
      </c>
      <c r="T528" s="40">
        <v>12.6</v>
      </c>
      <c r="U528" s="40">
        <v>0.9</v>
      </c>
      <c r="V528" s="21">
        <v>2120</v>
      </c>
      <c r="W528" s="21">
        <v>896.62</v>
      </c>
      <c r="X528" s="32">
        <v>87.307000000000002</v>
      </c>
    </row>
    <row r="529" spans="17:24" x14ac:dyDescent="0.25">
      <c r="Q529" s="14" t="s">
        <v>272</v>
      </c>
      <c r="R529" s="15">
        <v>45415</v>
      </c>
      <c r="S529" s="39">
        <v>925.04</v>
      </c>
      <c r="T529" s="39">
        <v>13.06</v>
      </c>
      <c r="U529" s="39">
        <v>0.71</v>
      </c>
      <c r="V529" s="16">
        <v>0</v>
      </c>
      <c r="W529" s="16">
        <v>682.17</v>
      </c>
      <c r="X529" s="35">
        <v>28.922000000000001</v>
      </c>
    </row>
    <row r="530" spans="17:24" x14ac:dyDescent="0.25">
      <c r="Q530" s="19" t="s">
        <v>272</v>
      </c>
      <c r="R530" s="20">
        <v>45415</v>
      </c>
      <c r="S530" s="40">
        <v>925.04</v>
      </c>
      <c r="T530" s="40">
        <v>13.06</v>
      </c>
      <c r="U530" s="40">
        <v>0.71</v>
      </c>
      <c r="V530" s="21">
        <v>500</v>
      </c>
      <c r="W530" s="21">
        <v>728.18499999999995</v>
      </c>
      <c r="X530" s="32">
        <v>71.668999999999997</v>
      </c>
    </row>
    <row r="531" spans="17:24" x14ac:dyDescent="0.25">
      <c r="Q531" s="19" t="s">
        <v>272</v>
      </c>
      <c r="R531" s="20">
        <v>45415</v>
      </c>
      <c r="S531" s="40">
        <v>925.04</v>
      </c>
      <c r="T531" s="40">
        <v>13.06</v>
      </c>
      <c r="U531" s="40">
        <v>0.71</v>
      </c>
      <c r="V531" s="21">
        <v>1000</v>
      </c>
      <c r="W531" s="21">
        <v>776.31</v>
      </c>
      <c r="X531" s="32">
        <v>78.531000000000006</v>
      </c>
    </row>
    <row r="532" spans="17:24" x14ac:dyDescent="0.25">
      <c r="Q532" s="19" t="s">
        <v>272</v>
      </c>
      <c r="R532" s="20">
        <v>45415</v>
      </c>
      <c r="S532" s="40">
        <v>925.04</v>
      </c>
      <c r="T532" s="40">
        <v>13.06</v>
      </c>
      <c r="U532" s="40">
        <v>0.71</v>
      </c>
      <c r="V532" s="21">
        <v>1500</v>
      </c>
      <c r="W532" s="21">
        <v>823.46500000000003</v>
      </c>
      <c r="X532" s="32">
        <v>82.826999999999998</v>
      </c>
    </row>
    <row r="533" spans="17:24" x14ac:dyDescent="0.25">
      <c r="Q533" s="19" t="s">
        <v>272</v>
      </c>
      <c r="R533" s="20">
        <v>45415</v>
      </c>
      <c r="S533" s="40">
        <v>925.04</v>
      </c>
      <c r="T533" s="40">
        <v>13.06</v>
      </c>
      <c r="U533" s="40">
        <v>0.71</v>
      </c>
      <c r="V533" s="21">
        <v>2025</v>
      </c>
      <c r="W533" s="21">
        <v>873.77599999999995</v>
      </c>
      <c r="X533" s="32">
        <v>86.456999999999994</v>
      </c>
    </row>
    <row r="534" spans="17:24" x14ac:dyDescent="0.25">
      <c r="Q534" s="19" t="s">
        <v>272</v>
      </c>
      <c r="R534" s="20">
        <v>45415</v>
      </c>
      <c r="S534" s="40">
        <v>925.04</v>
      </c>
      <c r="T534" s="40">
        <v>13.06</v>
      </c>
      <c r="U534" s="40">
        <v>0.71</v>
      </c>
      <c r="V534" s="21">
        <v>2075</v>
      </c>
      <c r="W534" s="21">
        <v>878.52099999999996</v>
      </c>
      <c r="X534" s="32">
        <v>86.947999999999993</v>
      </c>
    </row>
    <row r="535" spans="17:24" ht="16.5" thickBot="1" x14ac:dyDescent="0.3">
      <c r="Q535" s="24" t="s">
        <v>272</v>
      </c>
      <c r="R535" s="25">
        <v>45415</v>
      </c>
      <c r="S535" s="41">
        <v>925.04</v>
      </c>
      <c r="T535" s="41">
        <v>13.06</v>
      </c>
      <c r="U535" s="41">
        <v>0.71</v>
      </c>
      <c r="V535" s="26">
        <v>2125</v>
      </c>
      <c r="W535" s="26">
        <v>883.81</v>
      </c>
      <c r="X535" s="33">
        <v>87.344999999999999</v>
      </c>
    </row>
    <row r="536" spans="17:24" x14ac:dyDescent="0.25">
      <c r="Q536" s="14" t="s">
        <v>292</v>
      </c>
      <c r="R536" s="15">
        <v>45456</v>
      </c>
      <c r="S536" s="39">
        <v>891.68309719999991</v>
      </c>
      <c r="T536" s="39">
        <v>7.5263999999999998</v>
      </c>
      <c r="U536" s="39">
        <v>0.68159999999999987</v>
      </c>
      <c r="V536" s="16">
        <v>0</v>
      </c>
      <c r="W536" s="16">
        <v>649.33600000000001</v>
      </c>
      <c r="X536" s="35">
        <v>34.258000000000003</v>
      </c>
    </row>
    <row r="537" spans="17:24" x14ac:dyDescent="0.25">
      <c r="Q537" s="19" t="s">
        <v>292</v>
      </c>
      <c r="R537" s="20">
        <v>45456</v>
      </c>
      <c r="S537" s="40">
        <v>891.68309719999991</v>
      </c>
      <c r="T537" s="40">
        <v>7.5263999999999998</v>
      </c>
      <c r="U537" s="40">
        <v>0.68159999999999987</v>
      </c>
      <c r="V537" s="21">
        <v>500</v>
      </c>
      <c r="W537" s="21">
        <v>692.47299999999996</v>
      </c>
      <c r="X537" s="32">
        <v>72.695999999999998</v>
      </c>
    </row>
    <row r="538" spans="17:24" x14ac:dyDescent="0.25">
      <c r="Q538" s="19" t="s">
        <v>292</v>
      </c>
      <c r="R538" s="20">
        <v>45456</v>
      </c>
      <c r="S538" s="40">
        <v>891.68309719999991</v>
      </c>
      <c r="T538" s="40">
        <v>7.5263999999999998</v>
      </c>
      <c r="U538" s="40">
        <v>0.68159999999999987</v>
      </c>
      <c r="V538" s="21">
        <v>1000</v>
      </c>
      <c r="W538" s="21">
        <v>737.37800000000004</v>
      </c>
      <c r="X538" s="32">
        <v>78.680999999999997</v>
      </c>
    </row>
    <row r="539" spans="17:24" x14ac:dyDescent="0.25">
      <c r="Q539" s="19" t="s">
        <v>292</v>
      </c>
      <c r="R539" s="20">
        <v>45456</v>
      </c>
      <c r="S539" s="40">
        <v>891.68309719999991</v>
      </c>
      <c r="T539" s="40">
        <v>7.5263999999999998</v>
      </c>
      <c r="U539" s="40">
        <v>0.68159999999999987</v>
      </c>
      <c r="V539" s="21">
        <v>1500</v>
      </c>
      <c r="W539" s="21">
        <v>782.10299999999995</v>
      </c>
      <c r="X539" s="32">
        <v>83.091999999999999</v>
      </c>
    </row>
    <row r="540" spans="17:24" x14ac:dyDescent="0.25">
      <c r="Q540" s="19" t="s">
        <v>292</v>
      </c>
      <c r="R540" s="20">
        <v>45456</v>
      </c>
      <c r="S540" s="40">
        <v>891.68309719999991</v>
      </c>
      <c r="T540" s="40">
        <v>7.5263999999999998</v>
      </c>
      <c r="U540" s="40">
        <v>0.68159999999999987</v>
      </c>
      <c r="V540" s="21">
        <v>1940</v>
      </c>
      <c r="W540" s="21">
        <v>820.42899999999997</v>
      </c>
      <c r="X540" s="32">
        <v>86.144000000000005</v>
      </c>
    </row>
    <row r="541" spans="17:24" ht="16.5" thickBot="1" x14ac:dyDescent="0.3">
      <c r="Q541" s="19" t="s">
        <v>292</v>
      </c>
      <c r="R541" s="20">
        <v>45456</v>
      </c>
      <c r="S541" s="40">
        <v>891.68309719999991</v>
      </c>
      <c r="T541" s="40">
        <v>7.5263999999999998</v>
      </c>
      <c r="U541" s="40">
        <v>0.68159999999999987</v>
      </c>
      <c r="V541" s="21">
        <v>1990</v>
      </c>
      <c r="W541" s="21">
        <v>823.91</v>
      </c>
      <c r="X541" s="32">
        <v>86.573999999999998</v>
      </c>
    </row>
    <row r="542" spans="17:24" x14ac:dyDescent="0.25">
      <c r="Q542" s="14" t="s">
        <v>128</v>
      </c>
      <c r="R542" s="15">
        <v>45420</v>
      </c>
      <c r="S542" s="39">
        <v>920.03599999999994</v>
      </c>
      <c r="T542" s="39">
        <v>8</v>
      </c>
      <c r="U542" s="39">
        <v>0.83</v>
      </c>
      <c r="V542" s="16">
        <v>0</v>
      </c>
      <c r="W542" s="16">
        <v>660.17</v>
      </c>
      <c r="X542" s="35">
        <v>25.45</v>
      </c>
    </row>
    <row r="543" spans="17:24" x14ac:dyDescent="0.25">
      <c r="Q543" s="19" t="s">
        <v>128</v>
      </c>
      <c r="R543" s="20">
        <v>45420</v>
      </c>
      <c r="S543" s="40">
        <v>920.03599999999994</v>
      </c>
      <c r="T543" s="40">
        <v>8</v>
      </c>
      <c r="U543" s="40">
        <v>0.83</v>
      </c>
      <c r="V543" s="21">
        <v>500</v>
      </c>
      <c r="W543" s="21">
        <v>704.44299999999998</v>
      </c>
      <c r="X543" s="32">
        <v>72.659000000000006</v>
      </c>
    </row>
    <row r="544" spans="17:24" x14ac:dyDescent="0.25">
      <c r="Q544" s="19" t="s">
        <v>128</v>
      </c>
      <c r="R544" s="20">
        <v>45420</v>
      </c>
      <c r="S544" s="40">
        <v>920.03599999999994</v>
      </c>
      <c r="T544" s="40">
        <v>8</v>
      </c>
      <c r="U544" s="40">
        <v>0.83</v>
      </c>
      <c r="V544" s="21">
        <v>1000</v>
      </c>
      <c r="W544" s="21">
        <v>750.154</v>
      </c>
      <c r="X544" s="32">
        <v>78.891999999999996</v>
      </c>
    </row>
    <row r="545" spans="17:24" x14ac:dyDescent="0.25">
      <c r="Q545" s="19" t="s">
        <v>128</v>
      </c>
      <c r="R545" s="20">
        <v>45420</v>
      </c>
      <c r="S545" s="40">
        <v>920.03599999999994</v>
      </c>
      <c r="T545" s="40">
        <v>8</v>
      </c>
      <c r="U545" s="40">
        <v>0.83</v>
      </c>
      <c r="V545" s="21">
        <v>1500</v>
      </c>
      <c r="W545" s="21">
        <v>794.71500000000003</v>
      </c>
      <c r="X545" s="32">
        <v>83.305999999999997</v>
      </c>
    </row>
    <row r="546" spans="17:24" x14ac:dyDescent="0.25">
      <c r="Q546" s="19" t="s">
        <v>128</v>
      </c>
      <c r="R546" s="20">
        <v>45420</v>
      </c>
      <c r="S546" s="40">
        <v>920.03599999999994</v>
      </c>
      <c r="T546" s="40">
        <v>8</v>
      </c>
      <c r="U546" s="40">
        <v>0.83</v>
      </c>
      <c r="V546" s="21">
        <v>2005</v>
      </c>
      <c r="W546" s="21">
        <v>839.55</v>
      </c>
      <c r="X546" s="32">
        <v>86.716999999999999</v>
      </c>
    </row>
    <row r="547" spans="17:24" x14ac:dyDescent="0.25">
      <c r="Q547" s="19" t="s">
        <v>128</v>
      </c>
      <c r="R547" s="20">
        <v>45420</v>
      </c>
      <c r="S547" s="40">
        <v>920.03599999999994</v>
      </c>
      <c r="T547" s="40">
        <v>8</v>
      </c>
      <c r="U547" s="40">
        <v>0.83</v>
      </c>
      <c r="V547" s="21">
        <v>2055</v>
      </c>
      <c r="W547" s="21">
        <v>844.15599999999995</v>
      </c>
      <c r="X547" s="32">
        <v>87.200999999999993</v>
      </c>
    </row>
    <row r="548" spans="17:24" ht="16.5" thickBot="1" x14ac:dyDescent="0.3">
      <c r="Q548" s="24" t="s">
        <v>128</v>
      </c>
      <c r="R548" s="25">
        <v>45420</v>
      </c>
      <c r="S548" s="41">
        <v>920.03599999999994</v>
      </c>
      <c r="T548" s="41">
        <v>8</v>
      </c>
      <c r="U548" s="41">
        <v>0.83</v>
      </c>
      <c r="V548" s="26">
        <v>2105</v>
      </c>
      <c r="W548" s="26">
        <v>847.53099999999995</v>
      </c>
      <c r="X548" s="33">
        <v>87.53</v>
      </c>
    </row>
    <row r="549" spans="17:24" x14ac:dyDescent="0.25">
      <c r="Q549" s="14" t="s">
        <v>238</v>
      </c>
      <c r="R549" s="15">
        <v>45442</v>
      </c>
      <c r="S549" s="39">
        <v>929.88</v>
      </c>
      <c r="T549" s="39">
        <v>8.34</v>
      </c>
      <c r="U549" s="39">
        <v>0.62</v>
      </c>
      <c r="V549" s="16">
        <v>0</v>
      </c>
      <c r="W549" s="16">
        <v>613.47900000000004</v>
      </c>
      <c r="X549" s="35">
        <v>39.033999999999999</v>
      </c>
    </row>
    <row r="550" spans="17:24" x14ac:dyDescent="0.25">
      <c r="Q550" s="19" t="s">
        <v>238</v>
      </c>
      <c r="R550" s="20">
        <v>45442</v>
      </c>
      <c r="S550" s="40">
        <v>929.88</v>
      </c>
      <c r="T550" s="40">
        <v>8.34</v>
      </c>
      <c r="U550" s="40">
        <v>0.62</v>
      </c>
      <c r="V550" s="21">
        <v>500</v>
      </c>
      <c r="W550" s="21">
        <v>659.67700000000002</v>
      </c>
      <c r="X550" s="32">
        <v>73.361999999999995</v>
      </c>
    </row>
    <row r="551" spans="17:24" x14ac:dyDescent="0.25">
      <c r="Q551" s="19" t="s">
        <v>238</v>
      </c>
      <c r="R551" s="20">
        <v>45442</v>
      </c>
      <c r="S551" s="40">
        <v>929.88</v>
      </c>
      <c r="T551" s="40">
        <v>8.34</v>
      </c>
      <c r="U551" s="40">
        <v>0.62</v>
      </c>
      <c r="V551" s="21">
        <v>1000</v>
      </c>
      <c r="W551" s="21">
        <v>705.07600000000002</v>
      </c>
      <c r="X551" s="32">
        <v>78.831999999999994</v>
      </c>
    </row>
    <row r="552" spans="17:24" x14ac:dyDescent="0.25">
      <c r="Q552" s="19" t="s">
        <v>238</v>
      </c>
      <c r="R552" s="20">
        <v>45442</v>
      </c>
      <c r="S552" s="40">
        <v>929.88</v>
      </c>
      <c r="T552" s="40">
        <v>8.34</v>
      </c>
      <c r="U552" s="40">
        <v>0.62</v>
      </c>
      <c r="V552" s="21">
        <v>1500</v>
      </c>
      <c r="W552" s="21">
        <v>749.42499999999995</v>
      </c>
      <c r="X552" s="32">
        <v>83.311000000000007</v>
      </c>
    </row>
    <row r="553" spans="17:24" x14ac:dyDescent="0.25">
      <c r="Q553" s="19" t="s">
        <v>238</v>
      </c>
      <c r="R553" s="20">
        <v>45442</v>
      </c>
      <c r="S553" s="40">
        <v>929.88</v>
      </c>
      <c r="T553" s="40">
        <v>8.34</v>
      </c>
      <c r="U553" s="40">
        <v>0.62</v>
      </c>
      <c r="V553" s="21">
        <v>2000</v>
      </c>
      <c r="W553" s="21">
        <v>793.11300000000006</v>
      </c>
      <c r="X553" s="32">
        <v>86.742999999999995</v>
      </c>
    </row>
    <row r="554" spans="17:24" x14ac:dyDescent="0.25">
      <c r="Q554" s="19" t="s">
        <v>238</v>
      </c>
      <c r="R554" s="20">
        <v>45442</v>
      </c>
      <c r="S554" s="40">
        <v>929.88</v>
      </c>
      <c r="T554" s="40">
        <v>8.34</v>
      </c>
      <c r="U554" s="40">
        <v>0.62</v>
      </c>
      <c r="V554" s="21">
        <v>2050</v>
      </c>
      <c r="W554" s="21">
        <v>797.53599999999994</v>
      </c>
      <c r="X554" s="32">
        <v>87.114000000000004</v>
      </c>
    </row>
    <row r="555" spans="17:24" ht="16.5" thickBot="1" x14ac:dyDescent="0.3">
      <c r="Q555" s="24" t="s">
        <v>238</v>
      </c>
      <c r="R555" s="25">
        <v>45442</v>
      </c>
      <c r="S555" s="41">
        <v>929.88</v>
      </c>
      <c r="T555" s="41">
        <v>8.34</v>
      </c>
      <c r="U555" s="41">
        <v>0.62</v>
      </c>
      <c r="V555" s="26">
        <v>2110</v>
      </c>
      <c r="W555" s="26">
        <v>802.92600000000004</v>
      </c>
      <c r="X555" s="33">
        <v>87.494</v>
      </c>
    </row>
    <row r="556" spans="17:24" x14ac:dyDescent="0.25">
      <c r="Q556" s="14" t="s">
        <v>269</v>
      </c>
      <c r="R556" s="15">
        <v>45411</v>
      </c>
      <c r="S556" s="39">
        <v>997.92200000000003</v>
      </c>
      <c r="T556" s="39">
        <v>6.91</v>
      </c>
      <c r="U556" s="39">
        <v>0.69</v>
      </c>
      <c r="V556" s="16">
        <v>0</v>
      </c>
      <c r="W556" s="16">
        <v>661.96799999999996</v>
      </c>
      <c r="X556" s="35">
        <v>24.19</v>
      </c>
    </row>
    <row r="557" spans="17:24" x14ac:dyDescent="0.25">
      <c r="Q557" s="19" t="s">
        <v>269</v>
      </c>
      <c r="R557" s="20">
        <v>45411</v>
      </c>
      <c r="S557" s="40">
        <v>997.92200000000003</v>
      </c>
      <c r="T557" s="40">
        <v>6.91</v>
      </c>
      <c r="U557" s="40">
        <v>0.69</v>
      </c>
      <c r="V557" s="21">
        <v>500</v>
      </c>
      <c r="W557" s="21">
        <v>708.85199999999998</v>
      </c>
      <c r="X557" s="32">
        <v>73.695999999999998</v>
      </c>
    </row>
    <row r="558" spans="17:24" x14ac:dyDescent="0.25">
      <c r="Q558" s="19" t="s">
        <v>269</v>
      </c>
      <c r="R558" s="20">
        <v>45411</v>
      </c>
      <c r="S558" s="40">
        <v>997.92200000000003</v>
      </c>
      <c r="T558" s="40">
        <v>6.91</v>
      </c>
      <c r="U558" s="40">
        <v>0.69</v>
      </c>
      <c r="V558" s="21">
        <v>1000</v>
      </c>
      <c r="W558" s="21">
        <v>757.98599999999999</v>
      </c>
      <c r="X558" s="32">
        <v>79.986000000000004</v>
      </c>
    </row>
    <row r="559" spans="17:24" x14ac:dyDescent="0.25">
      <c r="Q559" s="19" t="s">
        <v>269</v>
      </c>
      <c r="R559" s="20">
        <v>45411</v>
      </c>
      <c r="S559" s="40">
        <v>997.92200000000003</v>
      </c>
      <c r="T559" s="40">
        <v>6.91</v>
      </c>
      <c r="U559" s="40">
        <v>0.69</v>
      </c>
      <c r="V559" s="21">
        <v>1500</v>
      </c>
      <c r="W559" s="21">
        <v>805.92499999999995</v>
      </c>
      <c r="X559" s="32">
        <v>84.602000000000004</v>
      </c>
    </row>
    <row r="560" spans="17:24" x14ac:dyDescent="0.25">
      <c r="Q560" s="19" t="s">
        <v>269</v>
      </c>
      <c r="R560" s="20">
        <v>45411</v>
      </c>
      <c r="S560" s="40">
        <v>997.92200000000003</v>
      </c>
      <c r="T560" s="40">
        <v>6.91</v>
      </c>
      <c r="U560" s="40">
        <v>0.69</v>
      </c>
      <c r="V560" s="21">
        <v>2000</v>
      </c>
      <c r="W560" s="21">
        <v>853.40200000000004</v>
      </c>
      <c r="X560" s="32">
        <v>88.120999999999995</v>
      </c>
    </row>
    <row r="561" spans="17:24" x14ac:dyDescent="0.25">
      <c r="Q561" s="19" t="s">
        <v>269</v>
      </c>
      <c r="R561" s="20">
        <v>45411</v>
      </c>
      <c r="S561" s="40">
        <v>997.92200000000003</v>
      </c>
      <c r="T561" s="40">
        <v>6.91</v>
      </c>
      <c r="U561" s="40">
        <v>0.69</v>
      </c>
      <c r="V561" s="21">
        <v>2050</v>
      </c>
      <c r="W561" s="21">
        <v>858.12</v>
      </c>
      <c r="X561" s="32">
        <v>88.528999999999996</v>
      </c>
    </row>
    <row r="562" spans="17:24" ht="16.5" thickBot="1" x14ac:dyDescent="0.3">
      <c r="Q562" s="24" t="s">
        <v>269</v>
      </c>
      <c r="R562" s="25">
        <v>45411</v>
      </c>
      <c r="S562" s="41">
        <v>997.92200000000003</v>
      </c>
      <c r="T562" s="41">
        <v>6.91</v>
      </c>
      <c r="U562" s="41">
        <v>0.69</v>
      </c>
      <c r="V562" s="26">
        <v>2100</v>
      </c>
      <c r="W562" s="26">
        <v>862.74400000000003</v>
      </c>
      <c r="X562" s="33">
        <v>88.885000000000005</v>
      </c>
    </row>
    <row r="563" spans="17:24" x14ac:dyDescent="0.25">
      <c r="Q563" s="19" t="s">
        <v>284</v>
      </c>
      <c r="R563" s="20">
        <v>45431</v>
      </c>
      <c r="S563" s="40">
        <v>1009.921</v>
      </c>
      <c r="T563" s="40">
        <v>8.5299999999999994</v>
      </c>
      <c r="U563" s="40">
        <v>0.86</v>
      </c>
      <c r="V563" s="21">
        <v>0</v>
      </c>
      <c r="W563" s="21">
        <v>645.98699999999997</v>
      </c>
      <c r="X563" s="32">
        <v>32.185000000000002</v>
      </c>
    </row>
    <row r="564" spans="17:24" x14ac:dyDescent="0.25">
      <c r="Q564" s="19" t="s">
        <v>284</v>
      </c>
      <c r="R564" s="20">
        <v>45431</v>
      </c>
      <c r="S564" s="40">
        <v>1009.921</v>
      </c>
      <c r="T564" s="40">
        <v>8.5299999999999994</v>
      </c>
      <c r="U564" s="40">
        <v>0.86</v>
      </c>
      <c r="V564" s="21">
        <v>500</v>
      </c>
      <c r="W564" s="21">
        <v>695.26700000000005</v>
      </c>
      <c r="X564" s="32">
        <v>73.991</v>
      </c>
    </row>
    <row r="565" spans="17:24" x14ac:dyDescent="0.25">
      <c r="Q565" s="19" t="s">
        <v>284</v>
      </c>
      <c r="R565" s="20">
        <v>45431</v>
      </c>
      <c r="S565" s="40">
        <v>1009.921</v>
      </c>
      <c r="T565" s="40">
        <v>8.5299999999999994</v>
      </c>
      <c r="U565" s="40">
        <v>0.86</v>
      </c>
      <c r="V565" s="21">
        <v>1000</v>
      </c>
      <c r="W565" s="21">
        <v>754.60199999999998</v>
      </c>
      <c r="X565" s="32">
        <v>79.603999999999999</v>
      </c>
    </row>
    <row r="566" spans="17:24" x14ac:dyDescent="0.25">
      <c r="Q566" s="19" t="s">
        <v>284</v>
      </c>
      <c r="R566" s="20">
        <v>45431</v>
      </c>
      <c r="S566" s="40">
        <v>1009.921</v>
      </c>
      <c r="T566" s="40">
        <v>8.5299999999999994</v>
      </c>
      <c r="U566" s="40">
        <v>0.86</v>
      </c>
      <c r="V566" s="21">
        <v>1500</v>
      </c>
      <c r="W566" s="21">
        <v>795.35900000000004</v>
      </c>
      <c r="X566" s="32">
        <v>84.382000000000005</v>
      </c>
    </row>
    <row r="567" spans="17:24" x14ac:dyDescent="0.25">
      <c r="Q567" s="19" t="s">
        <v>284</v>
      </c>
      <c r="R567" s="20">
        <v>45431</v>
      </c>
      <c r="S567" s="40">
        <v>1009.921</v>
      </c>
      <c r="T567" s="40">
        <v>8.5299999999999994</v>
      </c>
      <c r="U567" s="40">
        <v>0.86</v>
      </c>
      <c r="V567" s="21">
        <v>2000</v>
      </c>
      <c r="W567" s="21">
        <v>844.19399999999996</v>
      </c>
      <c r="X567" s="32">
        <v>87.872</v>
      </c>
    </row>
    <row r="568" spans="17:24" ht="16.5" thickBot="1" x14ac:dyDescent="0.3">
      <c r="Q568" s="19" t="s">
        <v>284</v>
      </c>
      <c r="R568" s="20">
        <v>45431</v>
      </c>
      <c r="S568" s="40">
        <v>1009.921</v>
      </c>
      <c r="T568" s="40">
        <v>8.5299999999999994</v>
      </c>
      <c r="U568" s="40">
        <v>0.86</v>
      </c>
      <c r="V568" s="21">
        <v>2090</v>
      </c>
      <c r="W568" s="21">
        <v>853.27800000000002</v>
      </c>
      <c r="X568" s="32">
        <v>88.775000000000006</v>
      </c>
    </row>
    <row r="569" spans="17:24" x14ac:dyDescent="0.25">
      <c r="Q569" s="14" t="s">
        <v>117</v>
      </c>
      <c r="R569" s="15">
        <v>45399</v>
      </c>
      <c r="S569" s="39">
        <v>872.27078100000006</v>
      </c>
      <c r="T569" s="39">
        <v>9.120000000000001</v>
      </c>
      <c r="U569" s="39">
        <v>0.84000000000000019</v>
      </c>
      <c r="V569" s="16">
        <v>0</v>
      </c>
      <c r="W569" s="16">
        <v>610.822</v>
      </c>
      <c r="X569" s="35">
        <v>31.388000000000002</v>
      </c>
    </row>
    <row r="570" spans="17:24" x14ac:dyDescent="0.25">
      <c r="Q570" s="19" t="s">
        <v>117</v>
      </c>
      <c r="R570" s="20">
        <v>45399</v>
      </c>
      <c r="S570" s="40">
        <v>872.27078100000006</v>
      </c>
      <c r="T570" s="40">
        <v>9.120000000000001</v>
      </c>
      <c r="U570" s="40">
        <v>0.84000000000000019</v>
      </c>
      <c r="V570" s="21">
        <v>500</v>
      </c>
      <c r="W570" s="21">
        <v>652.62099999999998</v>
      </c>
      <c r="X570" s="32">
        <v>73.073999999999998</v>
      </c>
    </row>
    <row r="571" spans="17:24" x14ac:dyDescent="0.25">
      <c r="Q571" s="19" t="s">
        <v>117</v>
      </c>
      <c r="R571" s="20">
        <v>45399</v>
      </c>
      <c r="S571" s="40">
        <v>872.27078100000006</v>
      </c>
      <c r="T571" s="40">
        <v>9.120000000000001</v>
      </c>
      <c r="U571" s="40">
        <v>0.84000000000000019</v>
      </c>
      <c r="V571" s="21">
        <v>1000</v>
      </c>
      <c r="W571" s="21">
        <v>696.53899999999999</v>
      </c>
      <c r="X571" s="32">
        <v>78.77</v>
      </c>
    </row>
    <row r="572" spans="17:24" x14ac:dyDescent="0.25">
      <c r="Q572" s="19" t="s">
        <v>117</v>
      </c>
      <c r="R572" s="20">
        <v>45399</v>
      </c>
      <c r="S572" s="40">
        <v>872.27078100000006</v>
      </c>
      <c r="T572" s="40">
        <v>9.120000000000001</v>
      </c>
      <c r="U572" s="40">
        <v>0.84000000000000019</v>
      </c>
      <c r="V572" s="21">
        <v>1500</v>
      </c>
      <c r="W572" s="21">
        <v>739.96699999999998</v>
      </c>
      <c r="X572" s="32">
        <v>83.436000000000007</v>
      </c>
    </row>
    <row r="573" spans="17:24" x14ac:dyDescent="0.25">
      <c r="Q573" s="19" t="s">
        <v>117</v>
      </c>
      <c r="R573" s="20">
        <v>45399</v>
      </c>
      <c r="S573" s="40">
        <v>872.27078100000006</v>
      </c>
      <c r="T573" s="40">
        <v>9.120000000000001</v>
      </c>
      <c r="U573" s="40">
        <v>0.84000000000000019</v>
      </c>
      <c r="V573" s="21">
        <v>2005</v>
      </c>
      <c r="W573" s="21">
        <v>783.82899999999995</v>
      </c>
      <c r="X573" s="32">
        <v>86.734999999999999</v>
      </c>
    </row>
    <row r="574" spans="17:24" x14ac:dyDescent="0.25">
      <c r="Q574" s="19" t="s">
        <v>117</v>
      </c>
      <c r="R574" s="20">
        <v>45399</v>
      </c>
      <c r="S574" s="40">
        <v>872.27078100000006</v>
      </c>
      <c r="T574" s="40">
        <v>9.120000000000001</v>
      </c>
      <c r="U574" s="40">
        <v>0.84000000000000019</v>
      </c>
      <c r="V574" s="21">
        <v>2055</v>
      </c>
      <c r="W574" s="21">
        <v>787.91899999999998</v>
      </c>
      <c r="X574" s="32">
        <v>87.212000000000003</v>
      </c>
    </row>
    <row r="575" spans="17:24" ht="16.5" thickBot="1" x14ac:dyDescent="0.3">
      <c r="Q575" s="24" t="s">
        <v>117</v>
      </c>
      <c r="R575" s="25">
        <v>45399</v>
      </c>
      <c r="S575" s="41">
        <v>872.27078100000006</v>
      </c>
      <c r="T575" s="41">
        <v>9.120000000000001</v>
      </c>
      <c r="U575" s="41">
        <v>0.84000000000000019</v>
      </c>
      <c r="V575" s="26">
        <v>2105</v>
      </c>
      <c r="W575" s="26">
        <v>789.93100000000004</v>
      </c>
      <c r="X575" s="33">
        <v>87.522999999999996</v>
      </c>
    </row>
    <row r="576" spans="17:24" x14ac:dyDescent="0.25">
      <c r="Q576" s="14" t="s">
        <v>274</v>
      </c>
      <c r="R576" s="15">
        <v>45360</v>
      </c>
      <c r="S576" s="39">
        <v>850.17700000000002</v>
      </c>
      <c r="T576" s="39">
        <v>11.44</v>
      </c>
      <c r="U576" s="39">
        <v>0.88</v>
      </c>
      <c r="V576" s="16">
        <v>0</v>
      </c>
      <c r="W576" s="16">
        <v>666.78</v>
      </c>
      <c r="X576" s="35">
        <v>20.652999999999999</v>
      </c>
    </row>
    <row r="577" spans="17:24" x14ac:dyDescent="0.25">
      <c r="Q577" s="19" t="s">
        <v>274</v>
      </c>
      <c r="R577" s="20">
        <v>45360</v>
      </c>
      <c r="S577" s="40">
        <v>850.17700000000002</v>
      </c>
      <c r="T577" s="40">
        <v>11.44</v>
      </c>
      <c r="U577" s="40">
        <v>0.88</v>
      </c>
      <c r="V577" s="21">
        <v>1000</v>
      </c>
      <c r="W577" s="21">
        <v>754.27300000000002</v>
      </c>
      <c r="X577" s="32">
        <v>76.028000000000006</v>
      </c>
    </row>
    <row r="578" spans="17:24" x14ac:dyDescent="0.25">
      <c r="Q578" s="19" t="s">
        <v>274</v>
      </c>
      <c r="R578" s="20">
        <v>45360</v>
      </c>
      <c r="S578" s="40">
        <v>850.17700000000002</v>
      </c>
      <c r="T578" s="40">
        <v>11.44</v>
      </c>
      <c r="U578" s="40">
        <v>0.88</v>
      </c>
      <c r="V578" s="21">
        <v>2030</v>
      </c>
      <c r="W578" s="21">
        <v>846.49199999999996</v>
      </c>
      <c r="X578" s="32">
        <v>85.111999999999995</v>
      </c>
    </row>
    <row r="579" spans="17:24" x14ac:dyDescent="0.25">
      <c r="Q579" s="19" t="s">
        <v>274</v>
      </c>
      <c r="R579" s="20">
        <v>45360</v>
      </c>
      <c r="S579" s="40">
        <v>850.17700000000002</v>
      </c>
      <c r="T579" s="40">
        <v>11.44</v>
      </c>
      <c r="U579" s="40">
        <v>0.88</v>
      </c>
      <c r="V579" s="21">
        <v>2080</v>
      </c>
      <c r="W579" s="21">
        <v>850.98500000000001</v>
      </c>
      <c r="X579" s="32">
        <v>86.254000000000005</v>
      </c>
    </row>
    <row r="580" spans="17:24" x14ac:dyDescent="0.25">
      <c r="Q580" s="19" t="s">
        <v>274</v>
      </c>
      <c r="R580" s="20">
        <v>45360</v>
      </c>
      <c r="S580" s="40">
        <v>850.17700000000002</v>
      </c>
      <c r="T580" s="40">
        <v>11.44</v>
      </c>
      <c r="U580" s="40">
        <v>0.88</v>
      </c>
      <c r="V580" s="21">
        <v>2130</v>
      </c>
      <c r="W580" s="21">
        <v>854.29100000000005</v>
      </c>
      <c r="X580" s="32">
        <v>87.26</v>
      </c>
    </row>
    <row r="581" spans="17:24" x14ac:dyDescent="0.25">
      <c r="Q581" s="19" t="s">
        <v>274</v>
      </c>
      <c r="R581" s="20">
        <v>45360</v>
      </c>
      <c r="S581" s="40">
        <v>505.81200000000001</v>
      </c>
      <c r="T581" s="40">
        <v>8.6</v>
      </c>
      <c r="U581" s="40">
        <v>0.6</v>
      </c>
      <c r="V581" s="21">
        <v>2130</v>
      </c>
      <c r="W581" s="21">
        <v>935.12599999999998</v>
      </c>
      <c r="X581" s="32">
        <v>88.655000000000001</v>
      </c>
    </row>
    <row r="582" spans="17:24" x14ac:dyDescent="0.25">
      <c r="Q582" s="19" t="s">
        <v>274</v>
      </c>
      <c r="R582" s="20">
        <v>45360</v>
      </c>
      <c r="S582" s="40">
        <v>505.81200000000001</v>
      </c>
      <c r="T582" s="40">
        <v>8.6</v>
      </c>
      <c r="U582" s="40">
        <v>0.6</v>
      </c>
      <c r="V582" s="21">
        <v>2080</v>
      </c>
      <c r="W582" s="21">
        <v>931.44200000000001</v>
      </c>
      <c r="X582" s="32">
        <v>88.542000000000002</v>
      </c>
    </row>
    <row r="583" spans="17:24" x14ac:dyDescent="0.25">
      <c r="Q583" s="19" t="s">
        <v>274</v>
      </c>
      <c r="R583" s="20">
        <v>45360</v>
      </c>
      <c r="S583" s="40">
        <v>505.81200000000001</v>
      </c>
      <c r="T583" s="40">
        <v>8.6</v>
      </c>
      <c r="U583" s="40">
        <v>0.6</v>
      </c>
      <c r="V583" s="21">
        <v>2030</v>
      </c>
      <c r="W583" s="21">
        <v>927.74</v>
      </c>
      <c r="X583" s="32">
        <v>88.325000000000003</v>
      </c>
    </row>
    <row r="584" spans="17:24" x14ac:dyDescent="0.25">
      <c r="Q584" s="19" t="s">
        <v>274</v>
      </c>
      <c r="R584" s="20">
        <v>45360</v>
      </c>
      <c r="S584" s="40">
        <v>505.81200000000001</v>
      </c>
      <c r="T584" s="40">
        <v>8.6</v>
      </c>
      <c r="U584" s="40">
        <v>0.6</v>
      </c>
      <c r="V584" s="21">
        <v>1000</v>
      </c>
      <c r="W584" s="21">
        <v>850.20699999999999</v>
      </c>
      <c r="X584" s="32">
        <v>82.513000000000005</v>
      </c>
    </row>
    <row r="585" spans="17:24" ht="16.5" thickBot="1" x14ac:dyDescent="0.3">
      <c r="Q585" s="24" t="s">
        <v>274</v>
      </c>
      <c r="R585" s="25">
        <v>45360</v>
      </c>
      <c r="S585" s="41">
        <v>505.81200000000001</v>
      </c>
      <c r="T585" s="41">
        <v>8.6</v>
      </c>
      <c r="U585" s="41">
        <v>0.6</v>
      </c>
      <c r="V585" s="26">
        <v>0</v>
      </c>
      <c r="W585" s="26">
        <v>780.85900000000004</v>
      </c>
      <c r="X585" s="33">
        <v>60.011000000000003</v>
      </c>
    </row>
    <row r="586" spans="17:24" x14ac:dyDescent="0.25">
      <c r="Q586" s="19" t="s">
        <v>145</v>
      </c>
      <c r="R586" s="20">
        <v>45382</v>
      </c>
      <c r="S586" s="40">
        <v>919.45799999999997</v>
      </c>
      <c r="T586" s="40">
        <v>7.32</v>
      </c>
      <c r="U586" s="40">
        <v>1.2</v>
      </c>
      <c r="V586" s="21">
        <v>0</v>
      </c>
      <c r="W586" s="21">
        <v>686.73</v>
      </c>
      <c r="X586" s="32">
        <v>31.5</v>
      </c>
    </row>
    <row r="587" spans="17:24" x14ac:dyDescent="0.25">
      <c r="Q587" s="19" t="s">
        <v>145</v>
      </c>
      <c r="R587" s="20">
        <v>45382</v>
      </c>
      <c r="S587" s="40">
        <v>919.45799999999997</v>
      </c>
      <c r="T587" s="40">
        <v>7.32</v>
      </c>
      <c r="U587" s="40">
        <v>1.2</v>
      </c>
      <c r="V587" s="21">
        <v>500</v>
      </c>
      <c r="W587" s="21">
        <v>736.46</v>
      </c>
      <c r="X587" s="32">
        <v>73.599999999999994</v>
      </c>
    </row>
    <row r="588" spans="17:24" x14ac:dyDescent="0.25">
      <c r="Q588" s="19" t="s">
        <v>145</v>
      </c>
      <c r="R588" s="20">
        <v>45382</v>
      </c>
      <c r="S588" s="40">
        <v>919.45799999999997</v>
      </c>
      <c r="T588" s="40">
        <v>7.32</v>
      </c>
      <c r="U588" s="40">
        <v>1.2</v>
      </c>
      <c r="V588" s="21">
        <v>1000</v>
      </c>
      <c r="W588" s="21">
        <v>782.42</v>
      </c>
      <c r="X588" s="32">
        <v>79.400000000000006</v>
      </c>
    </row>
    <row r="589" spans="17:24" x14ac:dyDescent="0.25">
      <c r="Q589" s="19" t="s">
        <v>145</v>
      </c>
      <c r="R589" s="20">
        <v>45382</v>
      </c>
      <c r="S589" s="40">
        <v>919.45799999999997</v>
      </c>
      <c r="T589" s="40">
        <v>7.32</v>
      </c>
      <c r="U589" s="40">
        <v>1.2</v>
      </c>
      <c r="V589" s="21">
        <v>1500</v>
      </c>
      <c r="W589" s="21">
        <v>828.06</v>
      </c>
      <c r="X589" s="32">
        <v>83.9</v>
      </c>
    </row>
    <row r="590" spans="17:24" x14ac:dyDescent="0.25">
      <c r="Q590" s="19" t="s">
        <v>145</v>
      </c>
      <c r="R590" s="20">
        <v>45382</v>
      </c>
      <c r="S590" s="40">
        <v>919.45799999999997</v>
      </c>
      <c r="T590" s="40">
        <v>7.32</v>
      </c>
      <c r="U590" s="40">
        <v>1.2</v>
      </c>
      <c r="V590" s="21">
        <v>2000</v>
      </c>
      <c r="W590" s="21">
        <v>874.05</v>
      </c>
      <c r="X590" s="32">
        <v>87.3</v>
      </c>
    </row>
    <row r="591" spans="17:24" ht="16.5" thickBot="1" x14ac:dyDescent="0.3">
      <c r="Q591" s="19" t="s">
        <v>145</v>
      </c>
      <c r="R591" s="20">
        <v>45382</v>
      </c>
      <c r="S591" s="40">
        <v>919.45799999999997</v>
      </c>
      <c r="T591" s="40">
        <v>7.32</v>
      </c>
      <c r="U591" s="40">
        <v>1.2</v>
      </c>
      <c r="V591" s="21">
        <v>2135</v>
      </c>
      <c r="W591" s="21">
        <v>887.65</v>
      </c>
      <c r="X591" s="32">
        <v>88.1</v>
      </c>
    </row>
    <row r="592" spans="17:24" x14ac:dyDescent="0.25">
      <c r="Q592" s="14" t="s">
        <v>156</v>
      </c>
      <c r="R592" s="15">
        <v>45350</v>
      </c>
      <c r="S592" s="43">
        <v>822.37800000000004</v>
      </c>
      <c r="T592" s="16">
        <v>10</v>
      </c>
      <c r="U592" s="16">
        <v>0.08</v>
      </c>
      <c r="V592" s="16">
        <v>0</v>
      </c>
      <c r="W592" s="16">
        <v>691.82600000000002</v>
      </c>
      <c r="X592" s="35">
        <v>18.212</v>
      </c>
    </row>
    <row r="593" spans="17:24" x14ac:dyDescent="0.25">
      <c r="Q593" s="19" t="s">
        <v>156</v>
      </c>
      <c r="R593" s="20">
        <v>45350</v>
      </c>
      <c r="S593" s="44">
        <v>822.37800000000004</v>
      </c>
      <c r="T593" s="21">
        <v>10</v>
      </c>
      <c r="U593" s="21">
        <v>0.08</v>
      </c>
      <c r="V593" s="21">
        <v>1000</v>
      </c>
      <c r="W593" s="21">
        <v>776.851</v>
      </c>
      <c r="X593" s="32">
        <v>77.233000000000004</v>
      </c>
    </row>
    <row r="594" spans="17:24" x14ac:dyDescent="0.25">
      <c r="Q594" s="19" t="s">
        <v>156</v>
      </c>
      <c r="R594" s="20">
        <v>45350</v>
      </c>
      <c r="S594" s="44">
        <v>822.37800000000004</v>
      </c>
      <c r="T594" s="21">
        <v>10</v>
      </c>
      <c r="U594" s="21">
        <v>0.08</v>
      </c>
      <c r="V594" s="21">
        <v>2035</v>
      </c>
      <c r="W594" s="21">
        <v>868.28200000000004</v>
      </c>
      <c r="X594" s="32">
        <v>86.715999999999994</v>
      </c>
    </row>
    <row r="595" spans="17:24" x14ac:dyDescent="0.25">
      <c r="Q595" s="19" t="s">
        <v>156</v>
      </c>
      <c r="R595" s="20">
        <v>45350</v>
      </c>
      <c r="S595" s="44">
        <v>822.37800000000004</v>
      </c>
      <c r="T595" s="21">
        <v>10</v>
      </c>
      <c r="U595" s="21">
        <v>0.08</v>
      </c>
      <c r="V595" s="21">
        <v>2085</v>
      </c>
      <c r="W595" s="21">
        <v>872.47400000000005</v>
      </c>
      <c r="X595" s="32">
        <v>87.275000000000006</v>
      </c>
    </row>
    <row r="596" spans="17:24" x14ac:dyDescent="0.25">
      <c r="Q596" s="19" t="s">
        <v>156</v>
      </c>
      <c r="R596" s="20">
        <v>45350</v>
      </c>
      <c r="S596" s="44">
        <v>822.37800000000004</v>
      </c>
      <c r="T596" s="21">
        <v>10</v>
      </c>
      <c r="U596" s="21">
        <v>0.08</v>
      </c>
      <c r="V596" s="21">
        <v>2135</v>
      </c>
      <c r="W596" s="21">
        <v>880.06799999999998</v>
      </c>
      <c r="X596" s="32">
        <v>87.825999999999993</v>
      </c>
    </row>
    <row r="597" spans="17:24" x14ac:dyDescent="0.25">
      <c r="Q597" s="19" t="s">
        <v>156</v>
      </c>
      <c r="R597" s="20">
        <v>45350</v>
      </c>
      <c r="S597" s="44">
        <v>626.68499999999995</v>
      </c>
      <c r="T597" s="21">
        <v>7.36</v>
      </c>
      <c r="U597" s="21">
        <v>0.09</v>
      </c>
      <c r="V597" s="21">
        <v>2135</v>
      </c>
      <c r="W597" s="21">
        <v>931.38</v>
      </c>
      <c r="X597" s="32">
        <v>88.692999999999998</v>
      </c>
    </row>
    <row r="598" spans="17:24" x14ac:dyDescent="0.25">
      <c r="Q598" s="19" t="s">
        <v>156</v>
      </c>
      <c r="R598" s="20">
        <v>45350</v>
      </c>
      <c r="S598" s="44">
        <v>626.68499999999995</v>
      </c>
      <c r="T598" s="21">
        <v>7.36</v>
      </c>
      <c r="U598" s="21">
        <v>0.09</v>
      </c>
      <c r="V598" s="21">
        <v>2085</v>
      </c>
      <c r="W598" s="21">
        <v>925.5</v>
      </c>
      <c r="X598" s="32">
        <v>88.424999999999997</v>
      </c>
    </row>
    <row r="599" spans="17:24" x14ac:dyDescent="0.25">
      <c r="Q599" s="19" t="s">
        <v>156</v>
      </c>
      <c r="R599" s="20">
        <v>45350</v>
      </c>
      <c r="S599" s="44">
        <v>626.68499999999995</v>
      </c>
      <c r="T599" s="21">
        <v>7.36</v>
      </c>
      <c r="U599" s="21">
        <v>0.09</v>
      </c>
      <c r="V599" s="21">
        <v>2035</v>
      </c>
      <c r="W599" s="21">
        <v>921.75099999999998</v>
      </c>
      <c r="X599" s="32">
        <v>88.138999999999996</v>
      </c>
    </row>
    <row r="600" spans="17:24" x14ac:dyDescent="0.25">
      <c r="Q600" s="19" t="s">
        <v>156</v>
      </c>
      <c r="R600" s="20">
        <v>45350</v>
      </c>
      <c r="S600" s="44">
        <v>626.68499999999995</v>
      </c>
      <c r="T600" s="21">
        <v>7.36</v>
      </c>
      <c r="U600" s="21">
        <v>0.09</v>
      </c>
      <c r="V600" s="21">
        <v>1000</v>
      </c>
      <c r="W600" s="21">
        <v>840.17899999999997</v>
      </c>
      <c r="X600" s="32">
        <v>81.015000000000001</v>
      </c>
    </row>
    <row r="601" spans="17:24" x14ac:dyDescent="0.25">
      <c r="Q601" s="19" t="s">
        <v>156</v>
      </c>
      <c r="R601" s="20">
        <v>45350</v>
      </c>
      <c r="S601" s="44">
        <v>626.68499999999995</v>
      </c>
      <c r="T601" s="21">
        <v>7.36</v>
      </c>
      <c r="U601" s="21">
        <v>0.09</v>
      </c>
      <c r="V601" s="21">
        <v>0</v>
      </c>
      <c r="W601" s="21">
        <v>744.38599999999997</v>
      </c>
      <c r="X601" s="32">
        <v>41.265000000000001</v>
      </c>
    </row>
    <row r="602" spans="17:24" x14ac:dyDescent="0.25">
      <c r="Q602" s="19" t="s">
        <v>156</v>
      </c>
      <c r="R602" s="20">
        <v>45351</v>
      </c>
      <c r="S602" s="44">
        <v>482.42200000000003</v>
      </c>
      <c r="T602" s="21">
        <v>6.4</v>
      </c>
      <c r="U602" s="21">
        <v>7.0000000000000007E-2</v>
      </c>
      <c r="V602" s="21">
        <v>2135</v>
      </c>
      <c r="W602" s="21">
        <v>965.95299999999997</v>
      </c>
      <c r="X602" s="32">
        <v>89.114000000000004</v>
      </c>
    </row>
    <row r="603" spans="17:24" x14ac:dyDescent="0.25">
      <c r="Q603" s="19" t="s">
        <v>156</v>
      </c>
      <c r="R603" s="20">
        <v>45351</v>
      </c>
      <c r="S603" s="44">
        <v>482.42200000000003</v>
      </c>
      <c r="T603" s="21">
        <v>6.4</v>
      </c>
      <c r="U603" s="21">
        <v>7.0000000000000007E-2</v>
      </c>
      <c r="V603" s="21">
        <v>2085</v>
      </c>
      <c r="W603" s="21">
        <v>961.40099999999995</v>
      </c>
      <c r="X603" s="32">
        <v>89.028999999999996</v>
      </c>
    </row>
    <row r="604" spans="17:24" x14ac:dyDescent="0.25">
      <c r="Q604" s="19" t="s">
        <v>156</v>
      </c>
      <c r="R604" s="20">
        <v>45351</v>
      </c>
      <c r="S604" s="44">
        <v>482.42200000000003</v>
      </c>
      <c r="T604" s="21">
        <v>6.4</v>
      </c>
      <c r="U604" s="21">
        <v>7.0000000000000007E-2</v>
      </c>
      <c r="V604" s="21">
        <v>2035</v>
      </c>
      <c r="W604" s="21">
        <v>957.875</v>
      </c>
      <c r="X604" s="32">
        <v>88.847999999999999</v>
      </c>
    </row>
    <row r="605" spans="17:24" x14ac:dyDescent="0.25">
      <c r="Q605" s="19" t="s">
        <v>156</v>
      </c>
      <c r="R605" s="20">
        <v>45351</v>
      </c>
      <c r="S605" s="44">
        <v>482.42200000000003</v>
      </c>
      <c r="T605" s="21">
        <v>6.4</v>
      </c>
      <c r="U605" s="21">
        <v>7.0000000000000007E-2</v>
      </c>
      <c r="V605" s="21">
        <v>1000</v>
      </c>
      <c r="W605" s="21">
        <v>882.23900000000003</v>
      </c>
      <c r="X605" s="32">
        <v>84.643000000000001</v>
      </c>
    </row>
    <row r="606" spans="17:24" ht="16.5" thickBot="1" x14ac:dyDescent="0.3">
      <c r="Q606" s="24" t="s">
        <v>156</v>
      </c>
      <c r="R606" s="25">
        <v>45351</v>
      </c>
      <c r="S606" s="45">
        <v>482.42200000000003</v>
      </c>
      <c r="T606" s="26">
        <v>6.4</v>
      </c>
      <c r="U606" s="26">
        <v>7.0000000000000007E-2</v>
      </c>
      <c r="V606" s="26">
        <v>0</v>
      </c>
      <c r="W606" s="26">
        <v>813.03099999999995</v>
      </c>
      <c r="X606" s="33">
        <v>62.518000000000001</v>
      </c>
    </row>
    <row r="607" spans="17:24" x14ac:dyDescent="0.25">
      <c r="Q607" s="14" t="s">
        <v>239</v>
      </c>
      <c r="R607" s="15">
        <v>45429</v>
      </c>
      <c r="S607" s="39">
        <v>555.77300000000002</v>
      </c>
      <c r="T607" s="39">
        <v>6.53</v>
      </c>
      <c r="U607" s="39">
        <v>0.59</v>
      </c>
      <c r="V607" s="16">
        <v>0</v>
      </c>
      <c r="W607" s="16">
        <v>537.35599999999999</v>
      </c>
      <c r="X607" s="35">
        <v>29.524999999999999</v>
      </c>
    </row>
    <row r="608" spans="17:24" x14ac:dyDescent="0.25">
      <c r="Q608" s="19" t="s">
        <v>239</v>
      </c>
      <c r="R608" s="20">
        <v>45429</v>
      </c>
      <c r="S608" s="40">
        <v>555.77300000000002</v>
      </c>
      <c r="T608" s="40">
        <v>6.53</v>
      </c>
      <c r="U608" s="40">
        <v>0.59</v>
      </c>
      <c r="V608" s="21">
        <v>500</v>
      </c>
      <c r="W608" s="21">
        <v>566.97</v>
      </c>
      <c r="X608" s="32">
        <v>71.364999999999995</v>
      </c>
    </row>
    <row r="609" spans="17:24" x14ac:dyDescent="0.25">
      <c r="Q609" s="19" t="s">
        <v>239</v>
      </c>
      <c r="R609" s="20">
        <v>45429</v>
      </c>
      <c r="S609" s="40">
        <v>555.77300000000002</v>
      </c>
      <c r="T609" s="40">
        <v>6.53</v>
      </c>
      <c r="U609" s="40">
        <v>0.59</v>
      </c>
      <c r="V609" s="21">
        <v>1000</v>
      </c>
      <c r="W609" s="21">
        <v>598.58100000000002</v>
      </c>
      <c r="X609" s="32">
        <v>78.233999999999995</v>
      </c>
    </row>
    <row r="610" spans="17:24" x14ac:dyDescent="0.25">
      <c r="Q610" s="19" t="s">
        <v>239</v>
      </c>
      <c r="R610" s="20">
        <v>45429</v>
      </c>
      <c r="S610" s="40">
        <v>555.77300000000002</v>
      </c>
      <c r="T610" s="40">
        <v>6.53</v>
      </c>
      <c r="U610" s="40">
        <v>0.59</v>
      </c>
      <c r="V610" s="21">
        <v>1500</v>
      </c>
      <c r="W610" s="21">
        <v>629.60500000000002</v>
      </c>
      <c r="X610" s="32">
        <v>82.986999999999995</v>
      </c>
    </row>
    <row r="611" spans="17:24" x14ac:dyDescent="0.25">
      <c r="Q611" s="19" t="s">
        <v>239</v>
      </c>
      <c r="R611" s="20">
        <v>45429</v>
      </c>
      <c r="S611" s="40">
        <v>555.77300000000002</v>
      </c>
      <c r="T611" s="40">
        <v>6.53</v>
      </c>
      <c r="U611" s="40">
        <v>0.59</v>
      </c>
      <c r="V611" s="21">
        <v>2055</v>
      </c>
      <c r="W611" s="21">
        <v>664.08299999999997</v>
      </c>
      <c r="X611" s="32">
        <v>86.314999999999998</v>
      </c>
    </row>
    <row r="612" spans="17:24" x14ac:dyDescent="0.25">
      <c r="Q612" s="19" t="s">
        <v>239</v>
      </c>
      <c r="R612" s="20">
        <v>45429</v>
      </c>
      <c r="S612" s="40">
        <v>555.77300000000002</v>
      </c>
      <c r="T612" s="40">
        <v>6.53</v>
      </c>
      <c r="U612" s="40">
        <v>0.59</v>
      </c>
      <c r="V612" s="21">
        <v>2105</v>
      </c>
      <c r="W612" s="21">
        <v>667.79399999999998</v>
      </c>
      <c r="X612" s="32">
        <v>86.647000000000006</v>
      </c>
    </row>
    <row r="613" spans="17:24" ht="16.5" thickBot="1" x14ac:dyDescent="0.3">
      <c r="Q613" s="24" t="s">
        <v>239</v>
      </c>
      <c r="R613" s="25">
        <v>45429</v>
      </c>
      <c r="S613" s="41">
        <v>555.77300000000002</v>
      </c>
      <c r="T613" s="41">
        <v>6.53</v>
      </c>
      <c r="U613" s="41">
        <v>0.59</v>
      </c>
      <c r="V613" s="26">
        <v>2155</v>
      </c>
      <c r="W613" s="26">
        <v>672.59299999999996</v>
      </c>
      <c r="X613" s="33">
        <v>86.95</v>
      </c>
    </row>
    <row r="614" spans="17:24" x14ac:dyDescent="0.25">
      <c r="Q614" s="14" t="s">
        <v>138</v>
      </c>
      <c r="R614" s="15">
        <v>45444</v>
      </c>
      <c r="S614" s="39">
        <v>625.298</v>
      </c>
      <c r="T614" s="39">
        <v>3.63</v>
      </c>
      <c r="U614" s="39">
        <v>0.57999999999999996</v>
      </c>
      <c r="V614" s="16">
        <v>0</v>
      </c>
      <c r="W614" s="16">
        <v>557.09400000000005</v>
      </c>
      <c r="X614" s="35">
        <v>40.795000000000002</v>
      </c>
    </row>
    <row r="615" spans="17:24" x14ac:dyDescent="0.25">
      <c r="Q615" s="19" t="s">
        <v>138</v>
      </c>
      <c r="R615" s="20">
        <v>45444</v>
      </c>
      <c r="S615" s="40">
        <v>625.298</v>
      </c>
      <c r="T615" s="40">
        <v>3.63</v>
      </c>
      <c r="U615" s="40">
        <v>0.57999999999999996</v>
      </c>
      <c r="V615" s="21">
        <v>500</v>
      </c>
      <c r="W615" s="21">
        <v>591.81500000000005</v>
      </c>
      <c r="X615" s="32">
        <v>73.623999999999995</v>
      </c>
    </row>
    <row r="616" spans="17:24" x14ac:dyDescent="0.25">
      <c r="Q616" s="19" t="s">
        <v>138</v>
      </c>
      <c r="R616" s="20">
        <v>45444</v>
      </c>
      <c r="S616" s="40">
        <v>625.298</v>
      </c>
      <c r="T616" s="40">
        <v>3.63</v>
      </c>
      <c r="U616" s="40">
        <v>0.57999999999999996</v>
      </c>
      <c r="V616" s="21">
        <v>1000</v>
      </c>
      <c r="W616" s="21">
        <v>624.76800000000003</v>
      </c>
      <c r="X616" s="32">
        <v>79.215000000000003</v>
      </c>
    </row>
    <row r="617" spans="17:24" x14ac:dyDescent="0.25">
      <c r="Q617" s="19" t="s">
        <v>138</v>
      </c>
      <c r="R617" s="20">
        <v>45444</v>
      </c>
      <c r="S617" s="40">
        <v>625.298</v>
      </c>
      <c r="T617" s="40">
        <v>3.63</v>
      </c>
      <c r="U617" s="40">
        <v>0.57999999999999996</v>
      </c>
      <c r="V617" s="21">
        <v>1500</v>
      </c>
      <c r="W617" s="21">
        <v>658.70799999999997</v>
      </c>
      <c r="X617" s="32">
        <v>83.76</v>
      </c>
    </row>
    <row r="618" spans="17:24" x14ac:dyDescent="0.25">
      <c r="Q618" s="19" t="s">
        <v>138</v>
      </c>
      <c r="R618" s="20">
        <v>45444</v>
      </c>
      <c r="S618" s="40">
        <v>625.298</v>
      </c>
      <c r="T618" s="40">
        <v>3.63</v>
      </c>
      <c r="U618" s="40">
        <v>0.57999999999999996</v>
      </c>
      <c r="V618" s="21">
        <v>2000</v>
      </c>
      <c r="W618" s="21">
        <v>691.28399999999999</v>
      </c>
      <c r="X618" s="32">
        <v>86.905000000000001</v>
      </c>
    </row>
    <row r="619" spans="17:24" x14ac:dyDescent="0.25">
      <c r="Q619" s="19" t="s">
        <v>138</v>
      </c>
      <c r="R619" s="20">
        <v>45444</v>
      </c>
      <c r="S619" s="40">
        <v>625.298</v>
      </c>
      <c r="T619" s="40">
        <v>3.63</v>
      </c>
      <c r="U619" s="40">
        <v>0.57999999999999996</v>
      </c>
      <c r="V619" s="21">
        <v>2130</v>
      </c>
      <c r="W619" s="21">
        <v>700.86699999999996</v>
      </c>
      <c r="X619" s="32">
        <v>87.603999999999999</v>
      </c>
    </row>
    <row r="620" spans="17:24" ht="16.5" thickBot="1" x14ac:dyDescent="0.3">
      <c r="Q620" s="24" t="s">
        <v>138</v>
      </c>
      <c r="R620" s="25">
        <v>45444</v>
      </c>
      <c r="S620" s="41">
        <v>625.298</v>
      </c>
      <c r="T620" s="41">
        <v>3.63</v>
      </c>
      <c r="U620" s="41">
        <v>0.57999999999999996</v>
      </c>
      <c r="V620" s="26">
        <v>2180</v>
      </c>
      <c r="W620" s="26">
        <v>705.05100000000004</v>
      </c>
      <c r="X620" s="33">
        <v>87.891000000000005</v>
      </c>
    </row>
    <row r="621" spans="17:24" x14ac:dyDescent="0.25">
      <c r="Q621" s="14" t="s">
        <v>152</v>
      </c>
      <c r="R621" s="15">
        <v>45376</v>
      </c>
      <c r="S621" s="39">
        <v>805.73400000000004</v>
      </c>
      <c r="T621" s="39">
        <v>6</v>
      </c>
      <c r="U621" s="39">
        <v>0.66</v>
      </c>
      <c r="V621" s="16">
        <v>0</v>
      </c>
      <c r="W621" s="16">
        <v>601.35599999999999</v>
      </c>
      <c r="X621" s="35">
        <v>25.11</v>
      </c>
    </row>
    <row r="622" spans="17:24" x14ac:dyDescent="0.25">
      <c r="Q622" s="19" t="s">
        <v>152</v>
      </c>
      <c r="R622" s="20">
        <v>45376</v>
      </c>
      <c r="S622" s="40">
        <v>805.73400000000004</v>
      </c>
      <c r="T622" s="40">
        <v>6</v>
      </c>
      <c r="U622" s="40">
        <v>0.66</v>
      </c>
      <c r="V622" s="21">
        <v>500</v>
      </c>
      <c r="W622" s="21">
        <v>643.70000000000005</v>
      </c>
      <c r="X622" s="32">
        <v>69.974000000000004</v>
      </c>
    </row>
    <row r="623" spans="17:24" x14ac:dyDescent="0.25">
      <c r="Q623" s="19" t="s">
        <v>152</v>
      </c>
      <c r="R623" s="20">
        <v>45376</v>
      </c>
      <c r="S623" s="40">
        <v>805.73400000000004</v>
      </c>
      <c r="T623" s="40">
        <v>6</v>
      </c>
      <c r="U623" s="40">
        <v>0.66</v>
      </c>
      <c r="V623" s="21">
        <v>1000</v>
      </c>
      <c r="W623" s="21">
        <v>684.798</v>
      </c>
      <c r="X623" s="32">
        <v>76.991</v>
      </c>
    </row>
    <row r="624" spans="17:24" x14ac:dyDescent="0.25">
      <c r="Q624" s="19" t="s">
        <v>152</v>
      </c>
      <c r="R624" s="20">
        <v>45376</v>
      </c>
      <c r="S624" s="40">
        <v>805.73400000000004</v>
      </c>
      <c r="T624" s="40">
        <v>6</v>
      </c>
      <c r="U624" s="40">
        <v>0.66</v>
      </c>
      <c r="V624" s="21">
        <v>1500</v>
      </c>
      <c r="W624" s="21">
        <v>725.24599999999998</v>
      </c>
      <c r="X624" s="32">
        <v>81.894999999999996</v>
      </c>
    </row>
    <row r="625" spans="17:24" x14ac:dyDescent="0.25">
      <c r="Q625" s="19" t="s">
        <v>152</v>
      </c>
      <c r="R625" s="20">
        <v>45376</v>
      </c>
      <c r="S625" s="40">
        <v>805.73400000000004</v>
      </c>
      <c r="T625" s="40">
        <v>6</v>
      </c>
      <c r="U625" s="40">
        <v>0.66</v>
      </c>
      <c r="V625" s="21">
        <v>2000</v>
      </c>
      <c r="W625" s="21">
        <v>765.03</v>
      </c>
      <c r="X625" s="32">
        <v>85.427000000000007</v>
      </c>
    </row>
    <row r="626" spans="17:24" ht="16.5" thickBot="1" x14ac:dyDescent="0.3">
      <c r="Q626" s="19" t="s">
        <v>152</v>
      </c>
      <c r="R626" s="20">
        <v>45376</v>
      </c>
      <c r="S626" s="40">
        <v>805.73400000000004</v>
      </c>
      <c r="T626" s="40">
        <v>6</v>
      </c>
      <c r="U626" s="40">
        <v>0.66</v>
      </c>
      <c r="V626" s="21">
        <v>2180</v>
      </c>
      <c r="W626" s="21">
        <v>780.18700000000001</v>
      </c>
      <c r="X626" s="32">
        <v>87.504000000000005</v>
      </c>
    </row>
    <row r="627" spans="17:24" x14ac:dyDescent="0.25">
      <c r="Q627" s="14" t="s">
        <v>275</v>
      </c>
      <c r="R627" s="15">
        <v>45428</v>
      </c>
      <c r="S627" s="39">
        <v>505.71</v>
      </c>
      <c r="T627" s="39">
        <v>3.79</v>
      </c>
      <c r="U627" s="39">
        <v>91.2</v>
      </c>
      <c r="V627" s="16">
        <v>0</v>
      </c>
      <c r="W627" s="16">
        <v>647.62</v>
      </c>
      <c r="X627" s="35">
        <v>30.952999999999999</v>
      </c>
    </row>
    <row r="628" spans="17:24" x14ac:dyDescent="0.25">
      <c r="Q628" s="19" t="s">
        <v>275</v>
      </c>
      <c r="R628" s="20">
        <v>45428</v>
      </c>
      <c r="S628" s="40">
        <v>505.71</v>
      </c>
      <c r="T628" s="40">
        <v>3.79</v>
      </c>
      <c r="U628" s="40">
        <v>91.2</v>
      </c>
      <c r="V628" s="21">
        <v>500</v>
      </c>
      <c r="W628" s="21">
        <v>696.57100000000003</v>
      </c>
      <c r="X628" s="32">
        <v>72.944999999999993</v>
      </c>
    </row>
    <row r="629" spans="17:24" x14ac:dyDescent="0.25">
      <c r="Q629" s="19" t="s">
        <v>275</v>
      </c>
      <c r="R629" s="20">
        <v>45428</v>
      </c>
      <c r="S629" s="40">
        <v>505.71</v>
      </c>
      <c r="T629" s="40">
        <v>3.79</v>
      </c>
      <c r="U629" s="40">
        <v>91.2</v>
      </c>
      <c r="V629" s="21">
        <v>1000</v>
      </c>
      <c r="W629" s="21">
        <v>757.35799999999995</v>
      </c>
      <c r="X629" s="32">
        <v>78.875</v>
      </c>
    </row>
    <row r="630" spans="17:24" x14ac:dyDescent="0.25">
      <c r="Q630" s="19" t="s">
        <v>275</v>
      </c>
      <c r="R630" s="20">
        <v>45428</v>
      </c>
      <c r="S630" s="40">
        <v>505.71</v>
      </c>
      <c r="T630" s="40">
        <v>3.79</v>
      </c>
      <c r="U630" s="40">
        <v>91.2</v>
      </c>
      <c r="V630" s="21">
        <v>1500</v>
      </c>
      <c r="W630" s="21">
        <v>827.58100000000002</v>
      </c>
      <c r="X630" s="32">
        <v>83.626000000000005</v>
      </c>
    </row>
    <row r="631" spans="17:24" x14ac:dyDescent="0.25">
      <c r="Q631" s="19" t="s">
        <v>275</v>
      </c>
      <c r="R631" s="20">
        <v>45428</v>
      </c>
      <c r="S631" s="40">
        <v>505.71</v>
      </c>
      <c r="T631" s="40">
        <v>3.79</v>
      </c>
      <c r="U631" s="40">
        <v>91.2</v>
      </c>
      <c r="V631" s="21">
        <v>2085</v>
      </c>
      <c r="W631" s="21">
        <v>910.96400000000006</v>
      </c>
      <c r="X631" s="32">
        <v>87.099000000000004</v>
      </c>
    </row>
    <row r="632" spans="17:24" x14ac:dyDescent="0.25">
      <c r="Q632" s="19" t="s">
        <v>275</v>
      </c>
      <c r="R632" s="20">
        <v>45428</v>
      </c>
      <c r="S632" s="40">
        <v>505.71</v>
      </c>
      <c r="T632" s="40">
        <v>3.79</v>
      </c>
      <c r="U632" s="40">
        <v>91.2</v>
      </c>
      <c r="V632" s="21">
        <v>2135</v>
      </c>
      <c r="W632" s="21">
        <v>918.976</v>
      </c>
      <c r="X632" s="32">
        <v>87.415000000000006</v>
      </c>
    </row>
    <row r="633" spans="17:24" ht="16.5" thickBot="1" x14ac:dyDescent="0.3">
      <c r="Q633" s="24" t="s">
        <v>275</v>
      </c>
      <c r="R633" s="25">
        <v>45428</v>
      </c>
      <c r="S633" s="41">
        <v>505.71</v>
      </c>
      <c r="T633" s="41">
        <v>3.79</v>
      </c>
      <c r="U633" s="41">
        <v>91.2</v>
      </c>
      <c r="V633" s="26">
        <v>2185</v>
      </c>
      <c r="W633" s="26">
        <v>924.79700000000003</v>
      </c>
      <c r="X633" s="33">
        <v>87.694000000000003</v>
      </c>
    </row>
    <row r="634" spans="17:24" x14ac:dyDescent="0.25">
      <c r="Q634" s="14" t="s">
        <v>177</v>
      </c>
      <c r="R634" s="15">
        <v>45467</v>
      </c>
      <c r="S634" s="39">
        <v>553.77487860000008</v>
      </c>
      <c r="T634" s="39">
        <v>6.1487999999999987</v>
      </c>
      <c r="U634" s="39">
        <v>0.57599999999999985</v>
      </c>
      <c r="V634" s="16">
        <v>0</v>
      </c>
      <c r="W634" s="16">
        <v>613.61400000000003</v>
      </c>
      <c r="X634" s="35">
        <v>37.722999999999999</v>
      </c>
    </row>
    <row r="635" spans="17:24" x14ac:dyDescent="0.25">
      <c r="Q635" s="19" t="s">
        <v>177</v>
      </c>
      <c r="R635" s="20">
        <v>45467</v>
      </c>
      <c r="S635" s="40">
        <v>553.77487860000008</v>
      </c>
      <c r="T635" s="40">
        <v>6.1487999999999987</v>
      </c>
      <c r="U635" s="40">
        <v>0.57599999999999985</v>
      </c>
      <c r="V635" s="21">
        <v>500</v>
      </c>
      <c r="W635" s="21">
        <v>645.42200000000003</v>
      </c>
      <c r="X635" s="32">
        <v>60.082999999999998</v>
      </c>
    </row>
    <row r="636" spans="17:24" x14ac:dyDescent="0.25">
      <c r="Q636" s="19" t="s">
        <v>177</v>
      </c>
      <c r="R636" s="20">
        <v>45467</v>
      </c>
      <c r="S636" s="40">
        <v>553.77487860000008</v>
      </c>
      <c r="T636" s="40">
        <v>6.1487999999999987</v>
      </c>
      <c r="U636" s="40">
        <v>0.57599999999999985</v>
      </c>
      <c r="V636" s="21">
        <v>1000</v>
      </c>
      <c r="W636" s="21">
        <v>678.84500000000003</v>
      </c>
      <c r="X636" s="32">
        <v>72.233000000000004</v>
      </c>
    </row>
    <row r="637" spans="17:24" x14ac:dyDescent="0.25">
      <c r="Q637" s="19" t="s">
        <v>177</v>
      </c>
      <c r="R637" s="20">
        <v>45467</v>
      </c>
      <c r="S637" s="40">
        <v>553.77487860000008</v>
      </c>
      <c r="T637" s="40">
        <v>6.1487999999999987</v>
      </c>
      <c r="U637" s="40">
        <v>0.57599999999999985</v>
      </c>
      <c r="V637" s="21">
        <v>1500</v>
      </c>
      <c r="W637" s="21">
        <v>710.81399999999996</v>
      </c>
      <c r="X637" s="32">
        <v>78.635000000000005</v>
      </c>
    </row>
    <row r="638" spans="17:24" x14ac:dyDescent="0.25">
      <c r="Q638" s="19" t="s">
        <v>177</v>
      </c>
      <c r="R638" s="20">
        <v>45467</v>
      </c>
      <c r="S638" s="40">
        <v>553.77487860000008</v>
      </c>
      <c r="T638" s="40">
        <v>6.1487999999999987</v>
      </c>
      <c r="U638" s="40">
        <v>0.57599999999999985</v>
      </c>
      <c r="V638" s="21">
        <v>2090</v>
      </c>
      <c r="W638" s="21">
        <v>748.30100000000004</v>
      </c>
      <c r="X638" s="32">
        <v>82.763000000000005</v>
      </c>
    </row>
    <row r="639" spans="17:24" ht="16.5" thickBot="1" x14ac:dyDescent="0.3">
      <c r="Q639" s="19" t="s">
        <v>177</v>
      </c>
      <c r="R639" s="20">
        <v>45467</v>
      </c>
      <c r="S639" s="40">
        <v>553.77487860000008</v>
      </c>
      <c r="T639" s="40">
        <v>6.1487999999999987</v>
      </c>
      <c r="U639" s="40">
        <v>0.57599999999999985</v>
      </c>
      <c r="V639" s="21">
        <v>2140</v>
      </c>
      <c r="W639" s="21">
        <v>751.84299999999996</v>
      </c>
      <c r="X639" s="32">
        <v>86.72</v>
      </c>
    </row>
    <row r="640" spans="17:24" x14ac:dyDescent="0.25">
      <c r="Q640" s="14" t="s">
        <v>185</v>
      </c>
      <c r="R640" s="15">
        <v>45389</v>
      </c>
      <c r="S640" s="39">
        <v>687.02</v>
      </c>
      <c r="T640" s="39">
        <v>6</v>
      </c>
      <c r="U640" s="39">
        <v>0.72</v>
      </c>
      <c r="V640" s="16">
        <v>0</v>
      </c>
      <c r="W640" s="16">
        <v>644.83000000000004</v>
      </c>
      <c r="X640" s="35">
        <v>34.6</v>
      </c>
    </row>
    <row r="641" spans="17:24" x14ac:dyDescent="0.25">
      <c r="Q641" s="19" t="s">
        <v>185</v>
      </c>
      <c r="R641" s="20">
        <v>45389</v>
      </c>
      <c r="S641" s="40">
        <v>687.02</v>
      </c>
      <c r="T641" s="40">
        <v>6</v>
      </c>
      <c r="U641" s="40">
        <v>0.72</v>
      </c>
      <c r="V641" s="21">
        <v>500</v>
      </c>
      <c r="W641" s="21">
        <v>685.35</v>
      </c>
      <c r="X641" s="32">
        <v>72.900000000000006</v>
      </c>
    </row>
    <row r="642" spans="17:24" x14ac:dyDescent="0.25">
      <c r="Q642" s="19" t="s">
        <v>185</v>
      </c>
      <c r="R642" s="20">
        <v>45389</v>
      </c>
      <c r="S642" s="40">
        <v>687.02</v>
      </c>
      <c r="T642" s="40">
        <v>6</v>
      </c>
      <c r="U642" s="40">
        <v>0.72</v>
      </c>
      <c r="V642" s="21">
        <v>1000</v>
      </c>
      <c r="W642" s="21">
        <v>722.28</v>
      </c>
      <c r="X642" s="32">
        <v>78.7</v>
      </c>
    </row>
    <row r="643" spans="17:24" x14ac:dyDescent="0.25">
      <c r="Q643" s="19" t="s">
        <v>185</v>
      </c>
      <c r="R643" s="20">
        <v>45389</v>
      </c>
      <c r="S643" s="40">
        <v>687.02</v>
      </c>
      <c r="T643" s="40">
        <v>6</v>
      </c>
      <c r="U643" s="40">
        <v>0.72</v>
      </c>
      <c r="V643" s="21">
        <v>1500</v>
      </c>
      <c r="W643" s="21">
        <v>758.86</v>
      </c>
      <c r="X643" s="32">
        <v>83.3</v>
      </c>
    </row>
    <row r="644" spans="17:24" x14ac:dyDescent="0.25">
      <c r="Q644" s="19" t="s">
        <v>185</v>
      </c>
      <c r="R644" s="20">
        <v>45389</v>
      </c>
      <c r="S644" s="40">
        <v>687.02</v>
      </c>
      <c r="T644" s="40">
        <v>6</v>
      </c>
      <c r="U644" s="40">
        <v>0.72</v>
      </c>
      <c r="V644" s="21">
        <v>2000</v>
      </c>
      <c r="W644" s="21">
        <v>795.42</v>
      </c>
      <c r="X644" s="32">
        <v>86.4</v>
      </c>
    </row>
    <row r="645" spans="17:24" ht="16.5" thickBot="1" x14ac:dyDescent="0.3">
      <c r="Q645" s="19" t="s">
        <v>185</v>
      </c>
      <c r="R645" s="20">
        <v>45389</v>
      </c>
      <c r="S645" s="40">
        <v>687.02</v>
      </c>
      <c r="T645" s="40">
        <v>6</v>
      </c>
      <c r="U645" s="40">
        <v>0.72</v>
      </c>
      <c r="V645" s="21">
        <v>2170</v>
      </c>
      <c r="W645" s="21">
        <v>807.72</v>
      </c>
      <c r="X645" s="32">
        <v>87.4</v>
      </c>
    </row>
    <row r="646" spans="17:24" x14ac:dyDescent="0.25">
      <c r="Q646" s="14" t="s">
        <v>149</v>
      </c>
      <c r="R646" s="15">
        <v>45453</v>
      </c>
      <c r="S646" s="39">
        <v>1016.927</v>
      </c>
      <c r="T646" s="39">
        <v>5.48</v>
      </c>
      <c r="U646" s="39">
        <v>0.61440000000000017</v>
      </c>
      <c r="V646" s="16">
        <v>0</v>
      </c>
      <c r="W646" s="16">
        <v>646.81500000000005</v>
      </c>
      <c r="X646" s="35">
        <v>38.503999999999998</v>
      </c>
    </row>
    <row r="647" spans="17:24" x14ac:dyDescent="0.25">
      <c r="Q647" s="19" t="s">
        <v>149</v>
      </c>
      <c r="R647" s="20">
        <v>45453</v>
      </c>
      <c r="S647" s="40">
        <v>1016.927</v>
      </c>
      <c r="T647" s="40">
        <v>5.48</v>
      </c>
      <c r="U647" s="40">
        <v>0.61440000000000017</v>
      </c>
      <c r="V647" s="21">
        <v>500</v>
      </c>
      <c r="W647" s="21">
        <v>699.40099999999995</v>
      </c>
      <c r="X647" s="32">
        <v>73.165000000000006</v>
      </c>
    </row>
    <row r="648" spans="17:24" x14ac:dyDescent="0.25">
      <c r="Q648" s="19" t="s">
        <v>149</v>
      </c>
      <c r="R648" s="20">
        <v>45453</v>
      </c>
      <c r="S648" s="40">
        <v>1016.927</v>
      </c>
      <c r="T648" s="40">
        <v>5.48</v>
      </c>
      <c r="U648" s="40">
        <v>0.61440000000000017</v>
      </c>
      <c r="V648" s="21">
        <v>1000</v>
      </c>
      <c r="W648" s="21">
        <v>750.17399999999998</v>
      </c>
      <c r="X648" s="32">
        <v>79.528999999999996</v>
      </c>
    </row>
    <row r="649" spans="17:24" x14ac:dyDescent="0.25">
      <c r="Q649" s="19" t="s">
        <v>149</v>
      </c>
      <c r="R649" s="20">
        <v>45453</v>
      </c>
      <c r="S649" s="40">
        <v>1016.927</v>
      </c>
      <c r="T649" s="40">
        <v>5.48</v>
      </c>
      <c r="U649" s="40">
        <v>0.61440000000000017</v>
      </c>
      <c r="V649" s="21">
        <v>1500</v>
      </c>
      <c r="W649" s="21">
        <v>799.15300000000002</v>
      </c>
      <c r="X649" s="32">
        <v>84.227999999999994</v>
      </c>
    </row>
    <row r="650" spans="17:24" x14ac:dyDescent="0.25">
      <c r="Q650" s="19" t="s">
        <v>149</v>
      </c>
      <c r="R650" s="20">
        <v>45453</v>
      </c>
      <c r="S650" s="40">
        <v>1016.927</v>
      </c>
      <c r="T650" s="40">
        <v>5.48</v>
      </c>
      <c r="U650" s="40">
        <v>0.61440000000000017</v>
      </c>
      <c r="V650" s="21">
        <v>2000</v>
      </c>
      <c r="W650" s="21">
        <v>849.51700000000005</v>
      </c>
      <c r="X650" s="32">
        <v>87.909000000000006</v>
      </c>
    </row>
    <row r="651" spans="17:24" x14ac:dyDescent="0.25">
      <c r="Q651" s="19" t="s">
        <v>149</v>
      </c>
      <c r="R651" s="20">
        <v>45453</v>
      </c>
      <c r="S651" s="40">
        <v>1016.927</v>
      </c>
      <c r="T651" s="40">
        <v>5.48</v>
      </c>
      <c r="U651" s="40">
        <v>0.61440000000000017</v>
      </c>
      <c r="V651" s="21">
        <v>2080</v>
      </c>
      <c r="W651" s="21">
        <v>855.88199999999995</v>
      </c>
      <c r="X651" s="32">
        <v>88.494</v>
      </c>
    </row>
    <row r="652" spans="17:24" ht="16.5" thickBot="1" x14ac:dyDescent="0.3">
      <c r="Q652" s="24" t="s">
        <v>149</v>
      </c>
      <c r="R652" s="25">
        <v>45453</v>
      </c>
      <c r="S652" s="41">
        <v>1016.927</v>
      </c>
      <c r="T652" s="41">
        <v>5.48</v>
      </c>
      <c r="U652" s="41">
        <v>0.61440000000000017</v>
      </c>
      <c r="V652" s="26">
        <v>2130</v>
      </c>
      <c r="W652" s="26">
        <v>860.96699999999998</v>
      </c>
      <c r="X652" s="33">
        <v>88.863</v>
      </c>
    </row>
    <row r="653" spans="17:24" x14ac:dyDescent="0.25">
      <c r="Q653" s="14" t="s">
        <v>99</v>
      </c>
      <c r="R653" s="15">
        <v>45447</v>
      </c>
      <c r="S653" s="39">
        <v>765.23400000000004</v>
      </c>
      <c r="T653" s="39">
        <v>4.84</v>
      </c>
      <c r="U653" s="39">
        <v>0.53</v>
      </c>
      <c r="V653" s="16">
        <v>0</v>
      </c>
      <c r="W653" s="16">
        <v>576.06399999999996</v>
      </c>
      <c r="X653" s="35">
        <v>40.558999999999997</v>
      </c>
    </row>
    <row r="654" spans="17:24" x14ac:dyDescent="0.25">
      <c r="Q654" s="19" t="s">
        <v>99</v>
      </c>
      <c r="R654" s="20">
        <v>45447</v>
      </c>
      <c r="S654" s="40">
        <v>765.23400000000004</v>
      </c>
      <c r="T654" s="40">
        <v>4.84</v>
      </c>
      <c r="U654" s="40">
        <v>0.53</v>
      </c>
      <c r="V654" s="21">
        <v>500</v>
      </c>
      <c r="W654" s="21">
        <v>617.98299999999995</v>
      </c>
      <c r="X654" s="32">
        <v>68.578999999999994</v>
      </c>
    </row>
    <row r="655" spans="17:24" x14ac:dyDescent="0.25">
      <c r="Q655" s="19" t="s">
        <v>99</v>
      </c>
      <c r="R655" s="20">
        <v>45447</v>
      </c>
      <c r="S655" s="40">
        <v>765.23400000000004</v>
      </c>
      <c r="T655" s="40">
        <v>4.84</v>
      </c>
      <c r="U655" s="40">
        <v>0.53</v>
      </c>
      <c r="V655" s="21">
        <v>1000</v>
      </c>
      <c r="W655" s="21">
        <v>658.78300000000002</v>
      </c>
      <c r="X655" s="32">
        <v>74.551000000000002</v>
      </c>
    </row>
    <row r="656" spans="17:24" x14ac:dyDescent="0.25">
      <c r="Q656" s="19" t="s">
        <v>99</v>
      </c>
      <c r="R656" s="20">
        <v>45447</v>
      </c>
      <c r="S656" s="40">
        <v>765.23400000000004</v>
      </c>
      <c r="T656" s="40">
        <v>4.84</v>
      </c>
      <c r="U656" s="40">
        <v>0.53</v>
      </c>
      <c r="V656" s="21">
        <v>1500</v>
      </c>
      <c r="W656" s="21">
        <v>699.4</v>
      </c>
      <c r="X656" s="32">
        <v>79.037000000000006</v>
      </c>
    </row>
    <row r="657" spans="17:24" x14ac:dyDescent="0.25">
      <c r="Q657" s="19" t="s">
        <v>99</v>
      </c>
      <c r="R657" s="20">
        <v>45447</v>
      </c>
      <c r="S657" s="40">
        <v>765.23400000000004</v>
      </c>
      <c r="T657" s="40">
        <v>4.84</v>
      </c>
      <c r="U657" s="40">
        <v>0.53</v>
      </c>
      <c r="V657" s="21">
        <v>1900</v>
      </c>
      <c r="W657" s="21">
        <v>731.17899999999997</v>
      </c>
      <c r="X657" s="32">
        <v>81.724000000000004</v>
      </c>
    </row>
    <row r="658" spans="17:24" ht="16.5" thickBot="1" x14ac:dyDescent="0.3">
      <c r="Q658" s="19" t="s">
        <v>99</v>
      </c>
      <c r="R658" s="20">
        <v>45447</v>
      </c>
      <c r="S658" s="40">
        <v>765.23400000000004</v>
      </c>
      <c r="T658" s="40">
        <v>4.84</v>
      </c>
      <c r="U658" s="40">
        <v>0.53</v>
      </c>
      <c r="V658" s="21">
        <v>1945</v>
      </c>
      <c r="W658" s="21">
        <v>732.173</v>
      </c>
      <c r="X658" s="32">
        <v>82.13</v>
      </c>
    </row>
    <row r="659" spans="17:24" x14ac:dyDescent="0.25">
      <c r="Q659" s="14" t="s">
        <v>231</v>
      </c>
      <c r="R659" s="15">
        <v>45413</v>
      </c>
      <c r="S659" s="39">
        <v>909.06100000000004</v>
      </c>
      <c r="T659" s="39">
        <v>4.99</v>
      </c>
      <c r="U659" s="39">
        <v>0.66</v>
      </c>
      <c r="V659" s="16">
        <v>0</v>
      </c>
      <c r="W659" s="16">
        <v>649.87</v>
      </c>
      <c r="X659" s="35">
        <v>27</v>
      </c>
    </row>
    <row r="660" spans="17:24" x14ac:dyDescent="0.25">
      <c r="Q660" s="19" t="s">
        <v>231</v>
      </c>
      <c r="R660" s="20">
        <v>45413</v>
      </c>
      <c r="S660" s="40">
        <v>909.06100000000004</v>
      </c>
      <c r="T660" s="40">
        <v>4.99</v>
      </c>
      <c r="U660" s="40">
        <v>0.66</v>
      </c>
      <c r="V660" s="21">
        <v>500</v>
      </c>
      <c r="W660" s="21">
        <v>698.97</v>
      </c>
      <c r="X660" s="32">
        <v>72.400000000000006</v>
      </c>
    </row>
    <row r="661" spans="17:24" x14ac:dyDescent="0.25">
      <c r="Q661" s="19" t="s">
        <v>231</v>
      </c>
      <c r="R661" s="20">
        <v>45413</v>
      </c>
      <c r="S661" s="40">
        <v>909.06100000000004</v>
      </c>
      <c r="T661" s="40">
        <v>4.99</v>
      </c>
      <c r="U661" s="40">
        <v>0.66</v>
      </c>
      <c r="V661" s="21">
        <v>1000</v>
      </c>
      <c r="W661" s="21">
        <v>745.72</v>
      </c>
      <c r="X661" s="32">
        <v>77.400000000000006</v>
      </c>
    </row>
    <row r="662" spans="17:24" x14ac:dyDescent="0.25">
      <c r="Q662" s="19" t="s">
        <v>231</v>
      </c>
      <c r="R662" s="20">
        <v>45413</v>
      </c>
      <c r="S662" s="40">
        <v>909.06100000000004</v>
      </c>
      <c r="T662" s="40">
        <v>4.99</v>
      </c>
      <c r="U662" s="40">
        <v>0.66</v>
      </c>
      <c r="V662" s="21">
        <v>1500</v>
      </c>
      <c r="W662" s="21">
        <v>791.84</v>
      </c>
      <c r="X662" s="32">
        <v>81.8</v>
      </c>
    </row>
    <row r="663" spans="17:24" x14ac:dyDescent="0.25">
      <c r="Q663" s="19" t="s">
        <v>231</v>
      </c>
      <c r="R663" s="20">
        <v>45413</v>
      </c>
      <c r="S663" s="40">
        <v>909.06100000000004</v>
      </c>
      <c r="T663" s="40">
        <v>4.99</v>
      </c>
      <c r="U663" s="40">
        <v>0.66</v>
      </c>
      <c r="V663" s="21">
        <v>2010</v>
      </c>
      <c r="W663" s="21">
        <v>838.3</v>
      </c>
      <c r="X663" s="32">
        <v>85.2</v>
      </c>
    </row>
    <row r="664" spans="17:24" x14ac:dyDescent="0.25">
      <c r="Q664" s="19" t="s">
        <v>231</v>
      </c>
      <c r="R664" s="20">
        <v>45413</v>
      </c>
      <c r="S664" s="40">
        <v>909.06100000000004</v>
      </c>
      <c r="T664" s="40">
        <v>4.99</v>
      </c>
      <c r="U664" s="40">
        <v>0.66</v>
      </c>
      <c r="V664" s="21">
        <v>2060</v>
      </c>
      <c r="W664" s="21">
        <v>843.28</v>
      </c>
      <c r="X664" s="32">
        <v>85.6</v>
      </c>
    </row>
    <row r="665" spans="17:24" ht="16.5" thickBot="1" x14ac:dyDescent="0.3">
      <c r="Q665" s="24" t="s">
        <v>231</v>
      </c>
      <c r="R665" s="25">
        <v>45413</v>
      </c>
      <c r="S665" s="41">
        <v>909.06100000000004</v>
      </c>
      <c r="T665" s="41">
        <v>4.99</v>
      </c>
      <c r="U665" s="41">
        <v>0.66</v>
      </c>
      <c r="V665" s="26">
        <v>2110</v>
      </c>
      <c r="W665" s="26">
        <v>848.49</v>
      </c>
      <c r="X665" s="33">
        <v>85.9</v>
      </c>
    </row>
    <row r="666" spans="17:24" x14ac:dyDescent="0.25">
      <c r="Q666" s="14" t="s">
        <v>137</v>
      </c>
      <c r="R666" s="15">
        <v>45419</v>
      </c>
      <c r="S666" s="39">
        <v>1050.893</v>
      </c>
      <c r="T666" s="39">
        <v>8.06</v>
      </c>
      <c r="U666" s="39">
        <v>0.72</v>
      </c>
      <c r="V666" s="16">
        <v>0</v>
      </c>
      <c r="W666" s="16">
        <v>666.00900000000001</v>
      </c>
      <c r="X666" s="35">
        <v>30.954999999999998</v>
      </c>
    </row>
    <row r="667" spans="17:24" x14ac:dyDescent="0.25">
      <c r="Q667" s="19" t="s">
        <v>137</v>
      </c>
      <c r="R667" s="20">
        <v>45419</v>
      </c>
      <c r="S667" s="40">
        <v>1050.893</v>
      </c>
      <c r="T667" s="40">
        <v>8.06</v>
      </c>
      <c r="U667" s="40">
        <v>0.72</v>
      </c>
      <c r="V667" s="21">
        <v>500</v>
      </c>
      <c r="W667" s="21">
        <v>718.755</v>
      </c>
      <c r="X667" s="32">
        <v>72.786000000000001</v>
      </c>
    </row>
    <row r="668" spans="17:24" x14ac:dyDescent="0.25">
      <c r="Q668" s="19" t="s">
        <v>137</v>
      </c>
      <c r="R668" s="20">
        <v>45419</v>
      </c>
      <c r="S668" s="40">
        <v>1050.893</v>
      </c>
      <c r="T668" s="40">
        <v>8.06</v>
      </c>
      <c r="U668" s="40">
        <v>0.72</v>
      </c>
      <c r="V668" s="21">
        <v>1000</v>
      </c>
      <c r="W668" s="21">
        <v>771.54300000000001</v>
      </c>
      <c r="X668" s="32">
        <v>79.596999999999994</v>
      </c>
    </row>
    <row r="669" spans="17:24" x14ac:dyDescent="0.25">
      <c r="Q669" s="19" t="s">
        <v>137</v>
      </c>
      <c r="R669" s="20">
        <v>45419</v>
      </c>
      <c r="S669" s="40">
        <v>1050.893</v>
      </c>
      <c r="T669" s="40">
        <v>8.06</v>
      </c>
      <c r="U669" s="40">
        <v>0.72</v>
      </c>
      <c r="V669" s="21">
        <v>1500</v>
      </c>
      <c r="W669" s="21">
        <v>822.53099999999995</v>
      </c>
      <c r="X669" s="32">
        <v>83.983999999999995</v>
      </c>
    </row>
    <row r="670" spans="17:24" x14ac:dyDescent="0.25">
      <c r="Q670" s="19" t="s">
        <v>137</v>
      </c>
      <c r="R670" s="20">
        <v>45419</v>
      </c>
      <c r="S670" s="40">
        <v>1050.893</v>
      </c>
      <c r="T670" s="40">
        <v>8.06</v>
      </c>
      <c r="U670" s="40">
        <v>0.72</v>
      </c>
      <c r="V670" s="21">
        <v>1975</v>
      </c>
      <c r="W670" s="21">
        <v>870.18700000000001</v>
      </c>
      <c r="X670" s="32">
        <v>87.210999999999999</v>
      </c>
    </row>
    <row r="671" spans="17:24" x14ac:dyDescent="0.25">
      <c r="Q671" s="19" t="s">
        <v>137</v>
      </c>
      <c r="R671" s="20">
        <v>45419</v>
      </c>
      <c r="S671" s="40">
        <v>1050.893</v>
      </c>
      <c r="T671" s="40">
        <v>8.06</v>
      </c>
      <c r="U671" s="40">
        <v>0.72</v>
      </c>
      <c r="V671" s="21">
        <v>2025</v>
      </c>
      <c r="W671" s="21">
        <v>875.76400000000001</v>
      </c>
      <c r="X671" s="32">
        <v>87.686000000000007</v>
      </c>
    </row>
    <row r="672" spans="17:24" ht="16.5" thickBot="1" x14ac:dyDescent="0.3">
      <c r="Q672" s="19" t="s">
        <v>137</v>
      </c>
      <c r="R672" s="20">
        <v>45419</v>
      </c>
      <c r="S672" s="40">
        <v>1050.893</v>
      </c>
      <c r="T672" s="40">
        <v>8.06</v>
      </c>
      <c r="U672" s="40">
        <v>0.72</v>
      </c>
      <c r="V672" s="21">
        <v>2075</v>
      </c>
      <c r="W672" s="21">
        <v>880.14800000000002</v>
      </c>
      <c r="X672" s="32">
        <v>88.033000000000001</v>
      </c>
    </row>
    <row r="673" spans="17:24" x14ac:dyDescent="0.25">
      <c r="Q673" s="14" t="s">
        <v>147</v>
      </c>
      <c r="R673" s="15">
        <v>45435</v>
      </c>
      <c r="S673" s="39">
        <v>945.10199999999998</v>
      </c>
      <c r="T673" s="39">
        <v>12.16</v>
      </c>
      <c r="U673" s="39">
        <v>0.65</v>
      </c>
      <c r="V673" s="16">
        <v>0</v>
      </c>
      <c r="W673" s="16">
        <v>714.13699999999994</v>
      </c>
      <c r="X673" s="35">
        <v>38.764000000000003</v>
      </c>
    </row>
    <row r="674" spans="17:24" x14ac:dyDescent="0.25">
      <c r="Q674" s="19" t="s">
        <v>147</v>
      </c>
      <c r="R674" s="20">
        <v>45435</v>
      </c>
      <c r="S674" s="40">
        <v>945.10199999999998</v>
      </c>
      <c r="T674" s="40">
        <v>12.16</v>
      </c>
      <c r="U674" s="40">
        <v>0.65</v>
      </c>
      <c r="V674" s="21">
        <v>500</v>
      </c>
      <c r="W674" s="21">
        <v>764.95600000000002</v>
      </c>
      <c r="X674" s="32">
        <v>75.528000000000006</v>
      </c>
    </row>
    <row r="675" spans="17:24" x14ac:dyDescent="0.25">
      <c r="Q675" s="19" t="s">
        <v>147</v>
      </c>
      <c r="R675" s="20">
        <v>45435</v>
      </c>
      <c r="S675" s="40">
        <v>945.10199999999998</v>
      </c>
      <c r="T675" s="40">
        <v>12.16</v>
      </c>
      <c r="U675" s="40">
        <v>0.65</v>
      </c>
      <c r="V675" s="21">
        <v>1000</v>
      </c>
      <c r="W675" s="21">
        <v>815.65499999999997</v>
      </c>
      <c r="X675" s="32">
        <v>80.147000000000006</v>
      </c>
    </row>
    <row r="676" spans="17:24" x14ac:dyDescent="0.25">
      <c r="Q676" s="19" t="s">
        <v>147</v>
      </c>
      <c r="R676" s="20">
        <v>45435</v>
      </c>
      <c r="S676" s="40">
        <v>945.10199999999998</v>
      </c>
      <c r="T676" s="40">
        <v>12.16</v>
      </c>
      <c r="U676" s="40">
        <v>0.65</v>
      </c>
      <c r="V676" s="21">
        <v>1500</v>
      </c>
      <c r="W676" s="21">
        <v>864.97199999999998</v>
      </c>
      <c r="X676" s="32">
        <v>84.388000000000005</v>
      </c>
    </row>
    <row r="677" spans="17:24" x14ac:dyDescent="0.25">
      <c r="Q677" s="19" t="s">
        <v>147</v>
      </c>
      <c r="R677" s="20">
        <v>45435</v>
      </c>
      <c r="S677" s="40">
        <v>945.10199999999998</v>
      </c>
      <c r="T677" s="40">
        <v>12.16</v>
      </c>
      <c r="U677" s="40">
        <v>0.65</v>
      </c>
      <c r="V677" s="21">
        <v>2000</v>
      </c>
      <c r="W677" s="21">
        <v>914.69299999999998</v>
      </c>
      <c r="X677" s="32">
        <v>87.882000000000005</v>
      </c>
    </row>
    <row r="678" spans="17:24" x14ac:dyDescent="0.25">
      <c r="Q678" s="19" t="s">
        <v>147</v>
      </c>
      <c r="R678" s="20">
        <v>45435</v>
      </c>
      <c r="S678" s="40">
        <v>945.10199999999998</v>
      </c>
      <c r="T678" s="40">
        <v>12.16</v>
      </c>
      <c r="U678" s="40">
        <v>0.65</v>
      </c>
      <c r="V678" s="21">
        <v>2080</v>
      </c>
      <c r="W678" s="21">
        <v>921.88699999999994</v>
      </c>
      <c r="X678" s="32">
        <v>88.409000000000006</v>
      </c>
    </row>
    <row r="679" spans="17:24" x14ac:dyDescent="0.25">
      <c r="Q679" s="19" t="s">
        <v>147</v>
      </c>
      <c r="R679" s="20">
        <v>45435</v>
      </c>
      <c r="S679" s="40">
        <v>945.10199999999998</v>
      </c>
      <c r="T679" s="40">
        <v>12.16</v>
      </c>
      <c r="U679" s="40">
        <v>0.65</v>
      </c>
      <c r="V679" s="21">
        <v>2130</v>
      </c>
      <c r="W679" s="21">
        <v>926.52200000000005</v>
      </c>
      <c r="X679" s="32">
        <v>88.736000000000004</v>
      </c>
    </row>
    <row r="680" spans="17:24" x14ac:dyDescent="0.25">
      <c r="Q680" s="19" t="s">
        <v>147</v>
      </c>
      <c r="R680" s="20">
        <v>45436</v>
      </c>
      <c r="S680" s="40">
        <v>745.51199999999994</v>
      </c>
      <c r="T680" s="40">
        <v>11.94</v>
      </c>
      <c r="U680" s="40">
        <v>0.52</v>
      </c>
      <c r="V680" s="21">
        <v>0</v>
      </c>
      <c r="W680" s="21">
        <v>764.37900000000002</v>
      </c>
      <c r="X680" s="32">
        <v>34.39</v>
      </c>
    </row>
    <row r="681" spans="17:24" x14ac:dyDescent="0.25">
      <c r="Q681" s="19" t="s">
        <v>147</v>
      </c>
      <c r="R681" s="20">
        <v>45436</v>
      </c>
      <c r="S681" s="40">
        <v>745.51199999999994</v>
      </c>
      <c r="T681" s="40">
        <v>11.94</v>
      </c>
      <c r="U681" s="40">
        <v>0.52</v>
      </c>
      <c r="V681" s="21">
        <v>500</v>
      </c>
      <c r="W681" s="21">
        <v>808.60599999999999</v>
      </c>
      <c r="X681" s="32">
        <v>75.040000000000006</v>
      </c>
    </row>
    <row r="682" spans="17:24" x14ac:dyDescent="0.25">
      <c r="Q682" s="19" t="s">
        <v>147</v>
      </c>
      <c r="R682" s="20">
        <v>45436</v>
      </c>
      <c r="S682" s="40">
        <v>745.51199999999994</v>
      </c>
      <c r="T682" s="40">
        <v>11.94</v>
      </c>
      <c r="U682" s="40">
        <v>0.52</v>
      </c>
      <c r="V682" s="21">
        <v>1000</v>
      </c>
      <c r="W682" s="21">
        <v>853.16600000000005</v>
      </c>
      <c r="X682" s="32">
        <v>79.986999999999995</v>
      </c>
    </row>
    <row r="683" spans="17:24" x14ac:dyDescent="0.25">
      <c r="Q683" s="19" t="s">
        <v>147</v>
      </c>
      <c r="R683" s="20">
        <v>45436</v>
      </c>
      <c r="S683" s="40">
        <v>745.51199999999994</v>
      </c>
      <c r="T683" s="40">
        <v>11.94</v>
      </c>
      <c r="U683" s="40">
        <v>0.52</v>
      </c>
      <c r="V683" s="21">
        <v>1500</v>
      </c>
      <c r="W683" s="21">
        <v>896.60900000000004</v>
      </c>
      <c r="X683" s="32">
        <v>84.507999999999996</v>
      </c>
    </row>
    <row r="684" spans="17:24" x14ac:dyDescent="0.25">
      <c r="Q684" s="19" t="s">
        <v>147</v>
      </c>
      <c r="R684" s="20">
        <v>45436</v>
      </c>
      <c r="S684" s="40">
        <v>745.51199999999994</v>
      </c>
      <c r="T684" s="40">
        <v>11.94</v>
      </c>
      <c r="U684" s="40">
        <v>0.52</v>
      </c>
      <c r="V684" s="21">
        <v>2000</v>
      </c>
      <c r="W684" s="21">
        <v>940.279</v>
      </c>
      <c r="X684" s="32">
        <v>88.171000000000006</v>
      </c>
    </row>
    <row r="685" spans="17:24" x14ac:dyDescent="0.25">
      <c r="Q685" s="19" t="s">
        <v>147</v>
      </c>
      <c r="R685" s="20">
        <v>45436</v>
      </c>
      <c r="S685" s="40">
        <v>745.51199999999994</v>
      </c>
      <c r="T685" s="40">
        <v>11.94</v>
      </c>
      <c r="U685" s="40">
        <v>0.52</v>
      </c>
      <c r="V685" s="21">
        <v>2080</v>
      </c>
      <c r="W685" s="21">
        <v>947.54100000000005</v>
      </c>
      <c r="X685" s="32">
        <v>88.805000000000007</v>
      </c>
    </row>
    <row r="686" spans="17:24" x14ac:dyDescent="0.25">
      <c r="Q686" s="19" t="s">
        <v>147</v>
      </c>
      <c r="R686" s="20">
        <v>45436</v>
      </c>
      <c r="S686" s="40">
        <v>745.51199999999994</v>
      </c>
      <c r="T686" s="40">
        <v>11.94</v>
      </c>
      <c r="U686" s="40">
        <v>0.52</v>
      </c>
      <c r="V686" s="21">
        <v>2130</v>
      </c>
      <c r="W686" s="21">
        <v>952.23599999999999</v>
      </c>
      <c r="X686" s="32">
        <v>89.186999999999998</v>
      </c>
    </row>
    <row r="687" spans="17:24" x14ac:dyDescent="0.25">
      <c r="Q687" s="19" t="s">
        <v>147</v>
      </c>
      <c r="R687" s="20">
        <v>45436</v>
      </c>
      <c r="S687" s="40">
        <v>529.83199999999999</v>
      </c>
      <c r="T687" s="40">
        <v>10.16</v>
      </c>
      <c r="U687" s="40">
        <v>0.38</v>
      </c>
      <c r="V687" s="21">
        <v>2130</v>
      </c>
      <c r="W687" s="21">
        <v>971.74800000000005</v>
      </c>
      <c r="X687" s="32">
        <v>89.512</v>
      </c>
    </row>
    <row r="688" spans="17:24" x14ac:dyDescent="0.25">
      <c r="Q688" s="19" t="s">
        <v>147</v>
      </c>
      <c r="R688" s="20">
        <v>45436</v>
      </c>
      <c r="S688" s="40">
        <v>529.83199999999999</v>
      </c>
      <c r="T688" s="40">
        <v>10.16</v>
      </c>
      <c r="U688" s="40">
        <v>0.38</v>
      </c>
      <c r="V688" s="21">
        <v>2080</v>
      </c>
      <c r="W688" s="21">
        <v>967.71</v>
      </c>
      <c r="X688" s="32">
        <v>89.221000000000004</v>
      </c>
    </row>
    <row r="689" spans="17:24" x14ac:dyDescent="0.25">
      <c r="Q689" s="19" t="s">
        <v>147</v>
      </c>
      <c r="R689" s="20">
        <v>45436</v>
      </c>
      <c r="S689" s="40">
        <v>529.83199999999999</v>
      </c>
      <c r="T689" s="40">
        <v>10.16</v>
      </c>
      <c r="U689" s="40">
        <v>0.38</v>
      </c>
      <c r="V689" s="21">
        <v>2000</v>
      </c>
      <c r="W689" s="21">
        <v>961.33500000000004</v>
      </c>
      <c r="X689" s="32">
        <v>88.715000000000003</v>
      </c>
    </row>
    <row r="690" spans="17:24" x14ac:dyDescent="0.25">
      <c r="Q690" s="19" t="s">
        <v>147</v>
      </c>
      <c r="R690" s="20">
        <v>45436</v>
      </c>
      <c r="S690" s="40">
        <v>529.83199999999999</v>
      </c>
      <c r="T690" s="40">
        <v>10.16</v>
      </c>
      <c r="U690" s="40">
        <v>0.38</v>
      </c>
      <c r="V690" s="21">
        <v>1500</v>
      </c>
      <c r="W690" s="21">
        <v>921.77099999999996</v>
      </c>
      <c r="X690" s="32">
        <v>85.221999999999994</v>
      </c>
    </row>
    <row r="691" spans="17:24" x14ac:dyDescent="0.25">
      <c r="Q691" s="19" t="s">
        <v>147</v>
      </c>
      <c r="R691" s="20">
        <v>45436</v>
      </c>
      <c r="S691" s="40">
        <v>529.83199999999999</v>
      </c>
      <c r="T691" s="40">
        <v>10.16</v>
      </c>
      <c r="U691" s="40">
        <v>0.38</v>
      </c>
      <c r="V691" s="21">
        <v>1000</v>
      </c>
      <c r="W691" s="21">
        <v>882.649</v>
      </c>
      <c r="X691" s="32">
        <v>80.665000000000006</v>
      </c>
    </row>
    <row r="692" spans="17:24" x14ac:dyDescent="0.25">
      <c r="Q692" s="19" t="s">
        <v>147</v>
      </c>
      <c r="R692" s="20">
        <v>45436</v>
      </c>
      <c r="S692" s="40">
        <v>529.83199999999999</v>
      </c>
      <c r="T692" s="40">
        <v>10.16</v>
      </c>
      <c r="U692" s="40">
        <v>0.38</v>
      </c>
      <c r="V692" s="21">
        <v>500</v>
      </c>
      <c r="W692" s="21">
        <v>843.00800000000004</v>
      </c>
      <c r="X692" s="32">
        <v>75.965000000000003</v>
      </c>
    </row>
    <row r="693" spans="17:24" ht="16.5" thickBot="1" x14ac:dyDescent="0.3">
      <c r="Q693" s="19" t="s">
        <v>147</v>
      </c>
      <c r="R693" s="20">
        <v>45436</v>
      </c>
      <c r="S693" s="40">
        <v>529.83199999999999</v>
      </c>
      <c r="T693" s="40">
        <v>10.16</v>
      </c>
      <c r="U693" s="40">
        <v>0.38</v>
      </c>
      <c r="V693" s="21">
        <v>0</v>
      </c>
      <c r="W693" s="21">
        <v>805.303</v>
      </c>
      <c r="X693" s="32">
        <v>51.716000000000001</v>
      </c>
    </row>
    <row r="694" spans="17:24" x14ac:dyDescent="0.25">
      <c r="Q694" s="14" t="s">
        <v>146</v>
      </c>
      <c r="R694" s="15">
        <v>45359</v>
      </c>
      <c r="S694" s="39">
        <v>795.19299999999998</v>
      </c>
      <c r="T694" s="39">
        <v>10</v>
      </c>
      <c r="U694" s="39">
        <v>1.68</v>
      </c>
      <c r="V694" s="16">
        <v>0</v>
      </c>
      <c r="W694" s="16">
        <v>696.63199999999995</v>
      </c>
      <c r="X694" s="35">
        <v>26.088999999999999</v>
      </c>
    </row>
    <row r="695" spans="17:24" x14ac:dyDescent="0.25">
      <c r="Q695" s="19" t="s">
        <v>146</v>
      </c>
      <c r="R695" s="20">
        <v>45359</v>
      </c>
      <c r="S695" s="40">
        <v>795.19299999999998</v>
      </c>
      <c r="T695" s="40">
        <v>10</v>
      </c>
      <c r="U695" s="40">
        <v>1.68</v>
      </c>
      <c r="V695" s="21">
        <v>1000</v>
      </c>
      <c r="W695" s="21">
        <v>783.77</v>
      </c>
      <c r="X695" s="32">
        <v>79.466999999999999</v>
      </c>
    </row>
    <row r="696" spans="17:24" x14ac:dyDescent="0.25">
      <c r="Q696" s="19" t="s">
        <v>146</v>
      </c>
      <c r="R696" s="20">
        <v>45359</v>
      </c>
      <c r="S696" s="40">
        <v>795.19299999999998</v>
      </c>
      <c r="T696" s="40">
        <v>10</v>
      </c>
      <c r="U696" s="40">
        <v>1.68</v>
      </c>
      <c r="V696" s="21">
        <v>2035</v>
      </c>
      <c r="W696" s="21">
        <v>874.03200000000004</v>
      </c>
      <c r="X696" s="32">
        <v>86.656000000000006</v>
      </c>
    </row>
    <row r="697" spans="17:24" x14ac:dyDescent="0.25">
      <c r="Q697" s="19" t="s">
        <v>146</v>
      </c>
      <c r="R697" s="20">
        <v>45359</v>
      </c>
      <c r="S697" s="40">
        <v>795.19299999999998</v>
      </c>
      <c r="T697" s="40">
        <v>10</v>
      </c>
      <c r="U697" s="40">
        <v>1.68</v>
      </c>
      <c r="V697" s="21">
        <v>2085</v>
      </c>
      <c r="W697" s="21">
        <v>878.279</v>
      </c>
      <c r="X697" s="32">
        <v>87.474000000000004</v>
      </c>
    </row>
    <row r="698" spans="17:24" x14ac:dyDescent="0.25">
      <c r="Q698" s="19" t="s">
        <v>146</v>
      </c>
      <c r="R698" s="20">
        <v>45359</v>
      </c>
      <c r="S698" s="40">
        <v>795.19299999999998</v>
      </c>
      <c r="T698" s="40">
        <v>10</v>
      </c>
      <c r="U698" s="40">
        <v>1.68</v>
      </c>
      <c r="V698" s="21">
        <v>2135</v>
      </c>
      <c r="W698" s="21">
        <v>881.98900000000003</v>
      </c>
      <c r="X698" s="32">
        <v>88.221999999999994</v>
      </c>
    </row>
    <row r="699" spans="17:24" x14ac:dyDescent="0.25">
      <c r="Q699" s="19" t="s">
        <v>146</v>
      </c>
      <c r="R699" s="20">
        <v>45359</v>
      </c>
      <c r="S699" s="40">
        <v>519.13800000000003</v>
      </c>
      <c r="T699" s="40">
        <v>7.9</v>
      </c>
      <c r="U699" s="40">
        <v>0.72</v>
      </c>
      <c r="V699" s="21">
        <v>2135</v>
      </c>
      <c r="W699" s="21">
        <v>939.68600000000004</v>
      </c>
      <c r="X699" s="32">
        <v>89.215999999999994</v>
      </c>
    </row>
    <row r="700" spans="17:24" x14ac:dyDescent="0.25">
      <c r="Q700" s="19" t="s">
        <v>146</v>
      </c>
      <c r="R700" s="20">
        <v>45359</v>
      </c>
      <c r="S700" s="40">
        <v>519.13800000000003</v>
      </c>
      <c r="T700" s="40">
        <v>7.9</v>
      </c>
      <c r="U700" s="40">
        <v>0.72</v>
      </c>
      <c r="V700" s="21">
        <v>2085</v>
      </c>
      <c r="W700" s="21">
        <v>935.97799999999995</v>
      </c>
      <c r="X700" s="32">
        <v>89.09</v>
      </c>
    </row>
    <row r="701" spans="17:24" x14ac:dyDescent="0.25">
      <c r="Q701" s="19" t="s">
        <v>146</v>
      </c>
      <c r="R701" s="20">
        <v>45359</v>
      </c>
      <c r="S701" s="40">
        <v>519.13800000000003</v>
      </c>
      <c r="T701" s="40">
        <v>7.9</v>
      </c>
      <c r="U701" s="40">
        <v>0.72</v>
      </c>
      <c r="V701" s="21">
        <v>2035</v>
      </c>
      <c r="W701" s="21">
        <v>932.22799999999995</v>
      </c>
      <c r="X701" s="32">
        <v>88.911000000000001</v>
      </c>
    </row>
    <row r="702" spans="17:24" x14ac:dyDescent="0.25">
      <c r="Q702" s="19" t="s">
        <v>146</v>
      </c>
      <c r="R702" s="20">
        <v>45359</v>
      </c>
      <c r="S702" s="40">
        <v>519.13800000000003</v>
      </c>
      <c r="T702" s="40">
        <v>7.9</v>
      </c>
      <c r="U702" s="40">
        <v>0.72</v>
      </c>
      <c r="V702" s="21">
        <v>1000</v>
      </c>
      <c r="W702" s="21">
        <v>855.06399999999996</v>
      </c>
      <c r="X702" s="32">
        <v>83.087000000000003</v>
      </c>
    </row>
    <row r="703" spans="17:24" ht="16.5" thickBot="1" x14ac:dyDescent="0.3">
      <c r="Q703" s="24" t="s">
        <v>146</v>
      </c>
      <c r="R703" s="25">
        <v>45359</v>
      </c>
      <c r="S703" s="41">
        <v>519.13800000000003</v>
      </c>
      <c r="T703" s="41">
        <v>7.9</v>
      </c>
      <c r="U703" s="41">
        <v>0.72</v>
      </c>
      <c r="V703" s="26">
        <v>0</v>
      </c>
      <c r="W703" s="26">
        <v>786.00199999999995</v>
      </c>
      <c r="X703" s="33">
        <v>60.86</v>
      </c>
    </row>
    <row r="704" spans="17:24" x14ac:dyDescent="0.25">
      <c r="Q704" s="19" t="s">
        <v>234</v>
      </c>
      <c r="R704" s="20">
        <v>45387</v>
      </c>
      <c r="S704" s="40">
        <v>859.36</v>
      </c>
      <c r="T704" s="40">
        <v>9.6</v>
      </c>
      <c r="U704" s="40">
        <v>0.72</v>
      </c>
      <c r="V704" s="21">
        <v>0</v>
      </c>
      <c r="W704" s="21">
        <v>654.29</v>
      </c>
      <c r="X704" s="32">
        <v>28.1</v>
      </c>
    </row>
    <row r="705" spans="17:24" x14ac:dyDescent="0.25">
      <c r="Q705" s="19" t="s">
        <v>234</v>
      </c>
      <c r="R705" s="20">
        <v>45387</v>
      </c>
      <c r="S705" s="40">
        <v>859.36</v>
      </c>
      <c r="T705" s="40">
        <v>9.6</v>
      </c>
      <c r="U705" s="40">
        <v>0.72</v>
      </c>
      <c r="V705" s="21">
        <v>500</v>
      </c>
      <c r="W705" s="21">
        <v>700.59</v>
      </c>
      <c r="X705" s="32">
        <v>73.099999999999994</v>
      </c>
    </row>
    <row r="706" spans="17:24" x14ac:dyDescent="0.25">
      <c r="Q706" s="19" t="s">
        <v>234</v>
      </c>
      <c r="R706" s="20">
        <v>45387</v>
      </c>
      <c r="S706" s="40">
        <v>859.36</v>
      </c>
      <c r="T706" s="40">
        <v>9.6</v>
      </c>
      <c r="U706" s="40">
        <v>0.72</v>
      </c>
      <c r="V706" s="21">
        <v>1000</v>
      </c>
      <c r="W706" s="21">
        <v>746.39</v>
      </c>
      <c r="X706" s="32">
        <v>78.7</v>
      </c>
    </row>
    <row r="707" spans="17:24" x14ac:dyDescent="0.25">
      <c r="Q707" s="19" t="s">
        <v>234</v>
      </c>
      <c r="R707" s="20">
        <v>45387</v>
      </c>
      <c r="S707" s="40">
        <v>859.36</v>
      </c>
      <c r="T707" s="40">
        <v>9.6</v>
      </c>
      <c r="U707" s="40">
        <v>0.72</v>
      </c>
      <c r="V707" s="21">
        <v>1500</v>
      </c>
      <c r="W707" s="21">
        <v>793.97</v>
      </c>
      <c r="X707" s="32">
        <v>83.1</v>
      </c>
    </row>
    <row r="708" spans="17:24" x14ac:dyDescent="0.25">
      <c r="Q708" s="19" t="s">
        <v>234</v>
      </c>
      <c r="R708" s="20">
        <v>45387</v>
      </c>
      <c r="S708" s="40">
        <v>859.36</v>
      </c>
      <c r="T708" s="40">
        <v>9.6</v>
      </c>
      <c r="U708" s="40">
        <v>0.72</v>
      </c>
      <c r="V708" s="21">
        <v>2000</v>
      </c>
      <c r="W708" s="21">
        <v>839.35</v>
      </c>
      <c r="X708" s="32">
        <v>86.5</v>
      </c>
    </row>
    <row r="709" spans="17:24" ht="16.5" thickBot="1" x14ac:dyDescent="0.3">
      <c r="Q709" s="19" t="s">
        <v>234</v>
      </c>
      <c r="R709" s="20">
        <v>45387</v>
      </c>
      <c r="S709" s="40">
        <v>859.36</v>
      </c>
      <c r="T709" s="40">
        <v>9.6</v>
      </c>
      <c r="U709" s="40">
        <v>0.72</v>
      </c>
      <c r="V709" s="21">
        <v>2140</v>
      </c>
      <c r="W709" s="21">
        <v>853.56</v>
      </c>
      <c r="X709" s="32">
        <v>87.5</v>
      </c>
    </row>
    <row r="710" spans="17:24" x14ac:dyDescent="0.25">
      <c r="Q710" s="14" t="s">
        <v>169</v>
      </c>
      <c r="R710" s="15">
        <v>45409</v>
      </c>
      <c r="S710" s="39">
        <v>942.79300000000001</v>
      </c>
      <c r="T710" s="39">
        <v>4.0199999999999996</v>
      </c>
      <c r="U710" s="39">
        <v>0.75</v>
      </c>
      <c r="V710" s="16">
        <v>0</v>
      </c>
      <c r="W710" s="16">
        <v>646.55399999999997</v>
      </c>
      <c r="X710" s="35">
        <v>25.76</v>
      </c>
    </row>
    <row r="711" spans="17:24" x14ac:dyDescent="0.25">
      <c r="Q711" s="19" t="s">
        <v>169</v>
      </c>
      <c r="R711" s="20">
        <v>45409</v>
      </c>
      <c r="S711" s="40">
        <v>942.79300000000001</v>
      </c>
      <c r="T711" s="40">
        <v>4.0199999999999996</v>
      </c>
      <c r="U711" s="40">
        <v>0.75</v>
      </c>
      <c r="V711" s="21">
        <v>500</v>
      </c>
      <c r="W711" s="21">
        <v>694.06200000000001</v>
      </c>
      <c r="X711" s="32">
        <v>70.013999999999996</v>
      </c>
    </row>
    <row r="712" spans="17:24" x14ac:dyDescent="0.25">
      <c r="Q712" s="19" t="s">
        <v>169</v>
      </c>
      <c r="R712" s="20">
        <v>45409</v>
      </c>
      <c r="S712" s="40">
        <v>942.79300000000001</v>
      </c>
      <c r="T712" s="40">
        <v>4.0199999999999996</v>
      </c>
      <c r="U712" s="40">
        <v>0.75</v>
      </c>
      <c r="V712" s="21">
        <v>1000</v>
      </c>
      <c r="W712" s="21">
        <v>743.17600000000004</v>
      </c>
      <c r="X712" s="32">
        <v>76.673000000000002</v>
      </c>
    </row>
    <row r="713" spans="17:24" x14ac:dyDescent="0.25">
      <c r="Q713" s="19" t="s">
        <v>169</v>
      </c>
      <c r="R713" s="20">
        <v>45409</v>
      </c>
      <c r="S713" s="40">
        <v>942.79300000000001</v>
      </c>
      <c r="T713" s="40">
        <v>4.0199999999999996</v>
      </c>
      <c r="U713" s="40">
        <v>0.75</v>
      </c>
      <c r="V713" s="21">
        <v>1500</v>
      </c>
      <c r="W713" s="21">
        <v>788.51499999999999</v>
      </c>
      <c r="X713" s="32">
        <v>80.995999999999995</v>
      </c>
    </row>
    <row r="714" spans="17:24" x14ac:dyDescent="0.25">
      <c r="Q714" s="19" t="s">
        <v>169</v>
      </c>
      <c r="R714" s="20">
        <v>45409</v>
      </c>
      <c r="S714" s="40">
        <v>942.79300000000001</v>
      </c>
      <c r="T714" s="40">
        <v>4.0199999999999996</v>
      </c>
      <c r="U714" s="40">
        <v>0.75</v>
      </c>
      <c r="V714" s="21">
        <v>1850</v>
      </c>
      <c r="W714" s="21">
        <v>820.279</v>
      </c>
      <c r="X714" s="32">
        <v>83.537999999999997</v>
      </c>
    </row>
    <row r="715" spans="17:24" x14ac:dyDescent="0.25">
      <c r="Q715" s="19" t="s">
        <v>169</v>
      </c>
      <c r="R715" s="20">
        <v>45409</v>
      </c>
      <c r="S715" s="40">
        <v>942.79300000000001</v>
      </c>
      <c r="T715" s="40">
        <v>4.0199999999999996</v>
      </c>
      <c r="U715" s="40">
        <v>0.75</v>
      </c>
      <c r="V715" s="21">
        <v>1900</v>
      </c>
      <c r="W715" s="21">
        <v>824.72</v>
      </c>
      <c r="X715" s="32">
        <v>84.12</v>
      </c>
    </row>
    <row r="716" spans="17:24" ht="16.5" thickBot="1" x14ac:dyDescent="0.3">
      <c r="Q716" s="24" t="s">
        <v>169</v>
      </c>
      <c r="R716" s="25">
        <v>45409</v>
      </c>
      <c r="S716" s="41">
        <v>942.79300000000001</v>
      </c>
      <c r="T716" s="41">
        <v>4.0199999999999996</v>
      </c>
      <c r="U716" s="41">
        <v>0.75</v>
      </c>
      <c r="V716" s="26">
        <v>1950</v>
      </c>
      <c r="W716" s="26">
        <v>827.55700000000002</v>
      </c>
      <c r="X716" s="33">
        <v>84.494</v>
      </c>
    </row>
    <row r="717" spans="17:24" x14ac:dyDescent="0.25">
      <c r="Q717" s="14" t="s">
        <v>206</v>
      </c>
      <c r="R717" s="15">
        <v>45448</v>
      </c>
      <c r="S717" s="39">
        <v>667.97106640000004</v>
      </c>
      <c r="T717" s="39">
        <v>4.3199999999999994</v>
      </c>
      <c r="U717" s="39">
        <v>0.66239999999999988</v>
      </c>
      <c r="V717" s="16">
        <v>0</v>
      </c>
      <c r="W717" s="16">
        <v>552.08699999999999</v>
      </c>
      <c r="X717" s="35">
        <v>35.262999999999998</v>
      </c>
    </row>
    <row r="718" spans="17:24" x14ac:dyDescent="0.25">
      <c r="Q718" s="19" t="s">
        <v>206</v>
      </c>
      <c r="R718" s="20">
        <v>45448</v>
      </c>
      <c r="S718" s="40">
        <v>667.97106640000004</v>
      </c>
      <c r="T718" s="40">
        <v>4.3199999999999994</v>
      </c>
      <c r="U718" s="40">
        <v>0.66239999999999988</v>
      </c>
      <c r="V718" s="21">
        <v>500</v>
      </c>
      <c r="W718" s="21">
        <v>585.75300000000004</v>
      </c>
      <c r="X718" s="32">
        <v>67.679000000000002</v>
      </c>
    </row>
    <row r="719" spans="17:24" x14ac:dyDescent="0.25">
      <c r="Q719" s="19" t="s">
        <v>206</v>
      </c>
      <c r="R719" s="20">
        <v>45448</v>
      </c>
      <c r="S719" s="40">
        <v>667.97106640000004</v>
      </c>
      <c r="T719" s="40">
        <v>4.3199999999999994</v>
      </c>
      <c r="U719" s="40">
        <v>0.66239999999999988</v>
      </c>
      <c r="V719" s="21">
        <v>1000</v>
      </c>
      <c r="W719" s="21">
        <v>621.37699999999995</v>
      </c>
      <c r="X719" s="32">
        <v>74.539000000000001</v>
      </c>
    </row>
    <row r="720" spans="17:24" x14ac:dyDescent="0.25">
      <c r="Q720" s="19" t="s">
        <v>206</v>
      </c>
      <c r="R720" s="20">
        <v>45448</v>
      </c>
      <c r="S720" s="40">
        <v>667.97106640000004</v>
      </c>
      <c r="T720" s="40">
        <v>4.3199999999999994</v>
      </c>
      <c r="U720" s="40">
        <v>0.66239999999999988</v>
      </c>
      <c r="V720" s="21">
        <v>1500</v>
      </c>
      <c r="W720" s="21">
        <v>654.56799999999998</v>
      </c>
      <c r="X720" s="32">
        <v>79.194999999999993</v>
      </c>
    </row>
    <row r="721" spans="17:24" x14ac:dyDescent="0.25">
      <c r="Q721" s="19" t="s">
        <v>206</v>
      </c>
      <c r="R721" s="20">
        <v>45448</v>
      </c>
      <c r="S721" s="40">
        <v>667.97106640000004</v>
      </c>
      <c r="T721" s="40">
        <v>4.3199999999999994</v>
      </c>
      <c r="U721" s="40">
        <v>0.66239999999999988</v>
      </c>
      <c r="V721" s="21">
        <v>2000</v>
      </c>
      <c r="W721" s="21">
        <v>690.99800000000005</v>
      </c>
      <c r="X721" s="32">
        <v>82.168000000000006</v>
      </c>
    </row>
    <row r="722" spans="17:24" x14ac:dyDescent="0.25">
      <c r="Q722" s="19" t="s">
        <v>206</v>
      </c>
      <c r="R722" s="20">
        <v>45448</v>
      </c>
      <c r="S722" s="40">
        <v>667.97106640000004</v>
      </c>
      <c r="T722" s="40">
        <v>4.3199999999999994</v>
      </c>
      <c r="U722" s="40">
        <v>0.66239999999999988</v>
      </c>
      <c r="V722" s="21">
        <v>2060</v>
      </c>
      <c r="W722" s="21">
        <v>694.96600000000001</v>
      </c>
      <c r="X722" s="32">
        <v>82.650999999999996</v>
      </c>
    </row>
    <row r="723" spans="17:24" ht="16.5" thickBot="1" x14ac:dyDescent="0.3">
      <c r="Q723" s="19" t="s">
        <v>206</v>
      </c>
      <c r="R723" s="20">
        <v>45448</v>
      </c>
      <c r="S723" s="40">
        <v>667.97106640000004</v>
      </c>
      <c r="T723" s="40">
        <v>4.3199999999999994</v>
      </c>
      <c r="U723" s="40">
        <v>0.66239999999999988</v>
      </c>
      <c r="V723" s="21">
        <v>2110</v>
      </c>
      <c r="W723" s="21">
        <v>704.31799999999998</v>
      </c>
      <c r="X723" s="32">
        <v>83.075000000000003</v>
      </c>
    </row>
    <row r="724" spans="17:24" x14ac:dyDescent="0.25">
      <c r="Q724" s="14" t="s">
        <v>286</v>
      </c>
      <c r="R724" s="15">
        <v>45368</v>
      </c>
      <c r="S724" s="39">
        <v>991.97699999999998</v>
      </c>
      <c r="T724" s="39">
        <v>4.5599999999999996</v>
      </c>
      <c r="U724" s="39">
        <v>0.8</v>
      </c>
      <c r="V724" s="16">
        <v>0</v>
      </c>
      <c r="W724" s="16">
        <v>683.79399999999998</v>
      </c>
      <c r="X724" s="35">
        <v>23.733000000000001</v>
      </c>
    </row>
    <row r="725" spans="17:24" x14ac:dyDescent="0.25">
      <c r="Q725" s="19" t="s">
        <v>286</v>
      </c>
      <c r="R725" s="20">
        <v>45368</v>
      </c>
      <c r="S725" s="40">
        <v>991.97699999999998</v>
      </c>
      <c r="T725" s="40">
        <v>4.5599999999999996</v>
      </c>
      <c r="U725" s="40">
        <v>0.8</v>
      </c>
      <c r="V725" s="21">
        <v>1000</v>
      </c>
      <c r="W725" s="21">
        <v>775.97400000000005</v>
      </c>
      <c r="X725" s="32">
        <v>59.649000000000001</v>
      </c>
    </row>
    <row r="726" spans="17:24" x14ac:dyDescent="0.25">
      <c r="Q726" s="19" t="s">
        <v>286</v>
      </c>
      <c r="R726" s="20">
        <v>45368</v>
      </c>
      <c r="S726" s="40">
        <v>991.97699999999998</v>
      </c>
      <c r="T726" s="40">
        <v>4.5599999999999996</v>
      </c>
      <c r="U726" s="40">
        <v>0.8</v>
      </c>
      <c r="V726" s="21">
        <v>2000</v>
      </c>
      <c r="W726" s="21">
        <v>872.93600000000004</v>
      </c>
      <c r="X726" s="32">
        <v>78.474999999999994</v>
      </c>
    </row>
    <row r="727" spans="17:24" x14ac:dyDescent="0.25">
      <c r="Q727" s="19" t="s">
        <v>286</v>
      </c>
      <c r="R727" s="20">
        <v>45368</v>
      </c>
      <c r="S727" s="40">
        <v>991.97699999999998</v>
      </c>
      <c r="T727" s="40">
        <v>4.5599999999999996</v>
      </c>
      <c r="U727" s="40">
        <v>0.8</v>
      </c>
      <c r="V727" s="21">
        <v>2050</v>
      </c>
      <c r="W727" s="21">
        <v>878.58900000000006</v>
      </c>
      <c r="X727" s="32">
        <v>82.771000000000001</v>
      </c>
    </row>
    <row r="728" spans="17:24" x14ac:dyDescent="0.25">
      <c r="Q728" s="19" t="s">
        <v>286</v>
      </c>
      <c r="R728" s="20">
        <v>45368</v>
      </c>
      <c r="S728" s="40">
        <v>991.97699999999998</v>
      </c>
      <c r="T728" s="40">
        <v>4.5599999999999996</v>
      </c>
      <c r="U728" s="40">
        <v>0.8</v>
      </c>
      <c r="V728" s="21">
        <v>2150</v>
      </c>
      <c r="W728" s="21">
        <v>895.58399999999995</v>
      </c>
      <c r="X728" s="32">
        <v>89.436999999999998</v>
      </c>
    </row>
    <row r="729" spans="17:24" x14ac:dyDescent="0.25">
      <c r="Q729" s="19" t="s">
        <v>286</v>
      </c>
      <c r="R729" s="20">
        <v>45368</v>
      </c>
      <c r="S729" s="40">
        <v>783.99599999999998</v>
      </c>
      <c r="T729" s="40">
        <v>3.96</v>
      </c>
      <c r="U729" s="40">
        <v>0.6</v>
      </c>
      <c r="V729" s="21">
        <v>2150</v>
      </c>
      <c r="W729" s="21">
        <v>931.84100000000001</v>
      </c>
      <c r="X729" s="32">
        <v>89.516000000000005</v>
      </c>
    </row>
    <row r="730" spans="17:24" x14ac:dyDescent="0.25">
      <c r="Q730" s="19" t="s">
        <v>286</v>
      </c>
      <c r="R730" s="20">
        <v>45368</v>
      </c>
      <c r="S730" s="40">
        <v>783.99599999999998</v>
      </c>
      <c r="T730" s="40">
        <v>3.96</v>
      </c>
      <c r="U730" s="40">
        <v>0.6</v>
      </c>
      <c r="V730" s="21">
        <v>2050</v>
      </c>
      <c r="W730" s="21">
        <v>916.08600000000001</v>
      </c>
      <c r="X730" s="32">
        <v>89.141000000000005</v>
      </c>
    </row>
    <row r="731" spans="17:24" x14ac:dyDescent="0.25">
      <c r="Q731" s="19" t="s">
        <v>286</v>
      </c>
      <c r="R731" s="20">
        <v>45368</v>
      </c>
      <c r="S731" s="40">
        <v>783.99599999999998</v>
      </c>
      <c r="T731" s="40">
        <v>3.96</v>
      </c>
      <c r="U731" s="40">
        <v>0.6</v>
      </c>
      <c r="V731" s="21">
        <v>2000</v>
      </c>
      <c r="W731" s="21">
        <v>912.15200000000004</v>
      </c>
      <c r="X731" s="32">
        <v>88.635000000000005</v>
      </c>
    </row>
    <row r="732" spans="17:24" x14ac:dyDescent="0.25">
      <c r="Q732" s="19" t="s">
        <v>286</v>
      </c>
      <c r="R732" s="20">
        <v>45368</v>
      </c>
      <c r="S732" s="40">
        <v>783.99599999999998</v>
      </c>
      <c r="T732" s="40">
        <v>3.96</v>
      </c>
      <c r="U732" s="40">
        <v>0.6</v>
      </c>
      <c r="V732" s="21">
        <v>1000</v>
      </c>
      <c r="W732" s="21">
        <v>829.40300000000002</v>
      </c>
      <c r="X732" s="32">
        <v>85.02</v>
      </c>
    </row>
    <row r="733" spans="17:24" x14ac:dyDescent="0.25">
      <c r="Q733" s="19" t="s">
        <v>286</v>
      </c>
      <c r="R733" s="20">
        <v>45368</v>
      </c>
      <c r="S733" s="40">
        <v>783.99599999999998</v>
      </c>
      <c r="T733" s="40">
        <v>3.96</v>
      </c>
      <c r="U733" s="40">
        <v>0.6</v>
      </c>
      <c r="V733" s="21">
        <v>0</v>
      </c>
      <c r="W733" s="21">
        <v>747.87699999999995</v>
      </c>
      <c r="X733" s="32">
        <v>75.918999999999997</v>
      </c>
    </row>
    <row r="734" spans="17:24" x14ac:dyDescent="0.25">
      <c r="Q734" s="19" t="s">
        <v>286</v>
      </c>
      <c r="R734" s="20">
        <v>45369</v>
      </c>
      <c r="S734" s="40">
        <v>610.71299999999997</v>
      </c>
      <c r="T734" s="40">
        <v>3.76</v>
      </c>
      <c r="U734" s="40">
        <v>0.52</v>
      </c>
      <c r="V734" s="21">
        <v>0</v>
      </c>
      <c r="W734" s="21">
        <v>785.02499999999998</v>
      </c>
      <c r="X734" s="32">
        <v>21.547999999999998</v>
      </c>
    </row>
    <row r="735" spans="17:24" x14ac:dyDescent="0.25">
      <c r="Q735" s="19" t="s">
        <v>286</v>
      </c>
      <c r="R735" s="20">
        <v>45369</v>
      </c>
      <c r="S735" s="40">
        <v>610.71299999999997</v>
      </c>
      <c r="T735" s="40">
        <v>3.76</v>
      </c>
      <c r="U735" s="40">
        <v>0.52</v>
      </c>
      <c r="V735" s="21">
        <v>1000</v>
      </c>
      <c r="W735" s="21">
        <v>858.04</v>
      </c>
      <c r="X735" s="32">
        <v>60.411999999999999</v>
      </c>
    </row>
    <row r="736" spans="17:24" x14ac:dyDescent="0.25">
      <c r="Q736" s="19" t="s">
        <v>286</v>
      </c>
      <c r="R736" s="20">
        <v>45369</v>
      </c>
      <c r="S736" s="40">
        <v>610.71299999999997</v>
      </c>
      <c r="T736" s="40">
        <v>3.76</v>
      </c>
      <c r="U736" s="40">
        <v>0.52</v>
      </c>
      <c r="V736" s="21">
        <v>2000</v>
      </c>
      <c r="W736" s="21">
        <v>936.09799999999996</v>
      </c>
      <c r="X736" s="32">
        <v>79.432000000000002</v>
      </c>
    </row>
    <row r="737" spans="17:24" x14ac:dyDescent="0.25">
      <c r="Q737" s="19" t="s">
        <v>286</v>
      </c>
      <c r="R737" s="20">
        <v>45369</v>
      </c>
      <c r="S737" s="40">
        <v>610.71299999999997</v>
      </c>
      <c r="T737" s="40">
        <v>3.76</v>
      </c>
      <c r="U737" s="40">
        <v>0.52</v>
      </c>
      <c r="V737" s="21">
        <v>2050</v>
      </c>
      <c r="W737" s="21">
        <v>941.21400000000006</v>
      </c>
      <c r="X737" s="32">
        <v>83.626000000000005</v>
      </c>
    </row>
    <row r="738" spans="17:24" x14ac:dyDescent="0.25">
      <c r="Q738" s="19" t="s">
        <v>286</v>
      </c>
      <c r="R738" s="20">
        <v>45369</v>
      </c>
      <c r="S738" s="40">
        <v>610.71299999999997</v>
      </c>
      <c r="T738" s="40">
        <v>3.76</v>
      </c>
      <c r="U738" s="40">
        <v>0.52</v>
      </c>
      <c r="V738" s="21">
        <v>2150</v>
      </c>
      <c r="W738" s="21">
        <v>958.84400000000005</v>
      </c>
      <c r="X738" s="32">
        <v>89.355999999999995</v>
      </c>
    </row>
    <row r="739" spans="17:24" x14ac:dyDescent="0.25">
      <c r="Q739" s="19" t="s">
        <v>286</v>
      </c>
      <c r="R739" s="20">
        <v>45369</v>
      </c>
      <c r="S739" s="40">
        <v>610.71299999999997</v>
      </c>
      <c r="T739" s="40">
        <v>3.76</v>
      </c>
      <c r="U739" s="40">
        <v>0.52</v>
      </c>
      <c r="V739" s="21">
        <v>2050</v>
      </c>
      <c r="W739" s="21">
        <v>943.51800000000003</v>
      </c>
      <c r="X739" s="32">
        <v>88.963999999999999</v>
      </c>
    </row>
    <row r="740" spans="17:24" x14ac:dyDescent="0.25">
      <c r="Q740" s="19" t="s">
        <v>286</v>
      </c>
      <c r="R740" s="20">
        <v>45369</v>
      </c>
      <c r="S740" s="40">
        <v>610.71299999999997</v>
      </c>
      <c r="T740" s="40">
        <v>3.76</v>
      </c>
      <c r="U740" s="40">
        <v>0.52</v>
      </c>
      <c r="V740" s="21">
        <v>2000</v>
      </c>
      <c r="W740" s="21">
        <v>939.82799999999997</v>
      </c>
      <c r="X740" s="32">
        <v>88.558000000000007</v>
      </c>
    </row>
    <row r="741" spans="17:24" x14ac:dyDescent="0.25">
      <c r="Q741" s="19" t="s">
        <v>286</v>
      </c>
      <c r="R741" s="20">
        <v>45369</v>
      </c>
      <c r="S741" s="40">
        <v>610.71299999999997</v>
      </c>
      <c r="T741" s="40">
        <v>3.76</v>
      </c>
      <c r="U741" s="40">
        <v>0.52</v>
      </c>
      <c r="V741" s="21">
        <v>1000</v>
      </c>
      <c r="W741" s="21">
        <v>865.53300000000002</v>
      </c>
      <c r="X741" s="32">
        <v>85.186999999999998</v>
      </c>
    </row>
    <row r="742" spans="17:24" ht="16.5" thickBot="1" x14ac:dyDescent="0.3">
      <c r="Q742" s="24" t="s">
        <v>286</v>
      </c>
      <c r="R742" s="25">
        <v>45369</v>
      </c>
      <c r="S742" s="41">
        <v>610.71299999999997</v>
      </c>
      <c r="T742" s="41">
        <v>3.76</v>
      </c>
      <c r="U742" s="41">
        <v>0.52</v>
      </c>
      <c r="V742" s="26">
        <v>0</v>
      </c>
      <c r="W742" s="26">
        <v>791.88099999999997</v>
      </c>
      <c r="X742" s="33">
        <v>74.856999999999999</v>
      </c>
    </row>
    <row r="743" spans="17:24" x14ac:dyDescent="0.25">
      <c r="Q743" s="19" t="s">
        <v>221</v>
      </c>
      <c r="R743" s="20">
        <v>45385</v>
      </c>
      <c r="S743" s="40">
        <v>955.63099999999997</v>
      </c>
      <c r="T743" s="40">
        <v>2.2799999999999998</v>
      </c>
      <c r="U743" s="40">
        <v>0.96</v>
      </c>
      <c r="V743" s="21">
        <v>0</v>
      </c>
      <c r="W743" s="21">
        <v>660.86</v>
      </c>
      <c r="X743" s="32">
        <v>37.9</v>
      </c>
    </row>
    <row r="744" spans="17:24" x14ac:dyDescent="0.25">
      <c r="Q744" s="19" t="s">
        <v>221</v>
      </c>
      <c r="R744" s="20">
        <v>45385</v>
      </c>
      <c r="S744" s="40">
        <v>955.63099999999997</v>
      </c>
      <c r="T744" s="40">
        <v>2.2799999999999998</v>
      </c>
      <c r="U744" s="40">
        <v>0.96</v>
      </c>
      <c r="V744" s="21">
        <v>500</v>
      </c>
      <c r="W744" s="21">
        <v>708.06</v>
      </c>
      <c r="X744" s="32">
        <v>73.3</v>
      </c>
    </row>
    <row r="745" spans="17:24" x14ac:dyDescent="0.25">
      <c r="Q745" s="19" t="s">
        <v>221</v>
      </c>
      <c r="R745" s="20">
        <v>45385</v>
      </c>
      <c r="S745" s="40">
        <v>955.63099999999997</v>
      </c>
      <c r="T745" s="40">
        <v>2.2799999999999998</v>
      </c>
      <c r="U745" s="40">
        <v>0.96</v>
      </c>
      <c r="V745" s="21">
        <v>1000</v>
      </c>
      <c r="W745" s="21">
        <v>755.34</v>
      </c>
      <c r="X745" s="32">
        <v>78.7</v>
      </c>
    </row>
    <row r="746" spans="17:24" x14ac:dyDescent="0.25">
      <c r="Q746" s="19" t="s">
        <v>221</v>
      </c>
      <c r="R746" s="20">
        <v>45385</v>
      </c>
      <c r="S746" s="40">
        <v>955.63099999999997</v>
      </c>
      <c r="T746" s="40">
        <v>2.2799999999999998</v>
      </c>
      <c r="U746" s="40">
        <v>0.96</v>
      </c>
      <c r="V746" s="21">
        <v>1500</v>
      </c>
      <c r="W746" s="21">
        <v>801.98</v>
      </c>
      <c r="X746" s="32">
        <v>83</v>
      </c>
    </row>
    <row r="747" spans="17:24" x14ac:dyDescent="0.25">
      <c r="Q747" s="19" t="s">
        <v>221</v>
      </c>
      <c r="R747" s="20">
        <v>45385</v>
      </c>
      <c r="S747" s="40">
        <v>955.63099999999997</v>
      </c>
      <c r="T747" s="40">
        <v>2.2799999999999998</v>
      </c>
      <c r="U747" s="40">
        <v>0.96</v>
      </c>
      <c r="V747" s="21">
        <v>2000</v>
      </c>
      <c r="W747" s="21">
        <v>848.6</v>
      </c>
      <c r="X747" s="32">
        <v>86.4</v>
      </c>
    </row>
    <row r="748" spans="17:24" ht="16.5" thickBot="1" x14ac:dyDescent="0.3">
      <c r="Q748" s="19" t="s">
        <v>221</v>
      </c>
      <c r="R748" s="20">
        <v>45385</v>
      </c>
      <c r="S748" s="40">
        <v>955.63099999999997</v>
      </c>
      <c r="T748" s="40">
        <v>2.2799999999999998</v>
      </c>
      <c r="U748" s="40">
        <v>0.96</v>
      </c>
      <c r="V748" s="21">
        <v>2095</v>
      </c>
      <c r="W748" s="21">
        <v>885.31</v>
      </c>
      <c r="X748" s="32">
        <v>86.9</v>
      </c>
    </row>
    <row r="749" spans="17:24" x14ac:dyDescent="0.25">
      <c r="Q749" s="14" t="s">
        <v>222</v>
      </c>
      <c r="R749" s="15">
        <v>45418</v>
      </c>
      <c r="S749" s="39">
        <v>1038.1005709999999</v>
      </c>
      <c r="T749" s="39">
        <v>3.4200000000000008</v>
      </c>
      <c r="U749" s="39">
        <v>0.8520000000000002</v>
      </c>
      <c r="V749" s="16">
        <v>0</v>
      </c>
      <c r="W749" s="16">
        <v>676.90988888889206</v>
      </c>
      <c r="X749" s="35">
        <v>46.213111111110798</v>
      </c>
    </row>
    <row r="750" spans="17:24" x14ac:dyDescent="0.25">
      <c r="Q750" s="19" t="s">
        <v>222</v>
      </c>
      <c r="R750" s="20">
        <v>45418</v>
      </c>
      <c r="S750" s="40">
        <v>1038.1005709999999</v>
      </c>
      <c r="T750" s="40">
        <v>3.4200000000000008</v>
      </c>
      <c r="U750" s="40">
        <v>0.8520000000000002</v>
      </c>
      <c r="V750" s="21">
        <v>500</v>
      </c>
      <c r="W750" s="21">
        <v>706.27499999999998</v>
      </c>
      <c r="X750" s="32">
        <v>71.088999999999999</v>
      </c>
    </row>
    <row r="751" spans="17:24" x14ac:dyDescent="0.25">
      <c r="Q751" s="19" t="s">
        <v>222</v>
      </c>
      <c r="R751" s="20">
        <v>45418</v>
      </c>
      <c r="S751" s="40">
        <v>1038.1005709999999</v>
      </c>
      <c r="T751" s="40">
        <v>3.4200000000000008</v>
      </c>
      <c r="U751" s="40">
        <v>0.8520000000000002</v>
      </c>
      <c r="V751" s="21">
        <v>1000</v>
      </c>
      <c r="W751" s="21">
        <v>755.93100000000004</v>
      </c>
      <c r="X751" s="32">
        <v>77.734999999999999</v>
      </c>
    </row>
    <row r="752" spans="17:24" x14ac:dyDescent="0.25">
      <c r="Q752" s="19" t="s">
        <v>222</v>
      </c>
      <c r="R752" s="20">
        <v>45418</v>
      </c>
      <c r="S752" s="40">
        <v>1038.1005709999999</v>
      </c>
      <c r="T752" s="40">
        <v>3.4200000000000008</v>
      </c>
      <c r="U752" s="40">
        <v>0.8520000000000002</v>
      </c>
      <c r="V752" s="21">
        <v>1500</v>
      </c>
      <c r="W752" s="21">
        <v>804.48599999999999</v>
      </c>
      <c r="X752" s="32">
        <v>82.325999999999993</v>
      </c>
    </row>
    <row r="753" spans="17:24" x14ac:dyDescent="0.25">
      <c r="Q753" s="19" t="s">
        <v>222</v>
      </c>
      <c r="R753" s="20">
        <v>45418</v>
      </c>
      <c r="S753" s="40">
        <v>1038.1005709999999</v>
      </c>
      <c r="T753" s="40">
        <v>3.4200000000000008</v>
      </c>
      <c r="U753" s="40">
        <v>0.8520000000000002</v>
      </c>
      <c r="V753" s="21">
        <v>1995</v>
      </c>
      <c r="W753" s="21">
        <v>850.95100000000002</v>
      </c>
      <c r="X753" s="32">
        <v>85.680999999999997</v>
      </c>
    </row>
    <row r="754" spans="17:24" x14ac:dyDescent="0.25">
      <c r="Q754" s="19" t="s">
        <v>222</v>
      </c>
      <c r="R754" s="20">
        <v>45418</v>
      </c>
      <c r="S754" s="40">
        <v>1038.1005709999999</v>
      </c>
      <c r="T754" s="40">
        <v>3.4200000000000008</v>
      </c>
      <c r="U754" s="40">
        <v>0.8520000000000002</v>
      </c>
      <c r="V754" s="21">
        <v>2045</v>
      </c>
      <c r="W754" s="21">
        <v>855.81899999999996</v>
      </c>
      <c r="X754" s="32">
        <v>86.224000000000004</v>
      </c>
    </row>
    <row r="755" spans="17:24" ht="16.5" thickBot="1" x14ac:dyDescent="0.3">
      <c r="Q755" s="24" t="s">
        <v>222</v>
      </c>
      <c r="R755" s="25">
        <v>45418</v>
      </c>
      <c r="S755" s="41">
        <v>1038.1005709999999</v>
      </c>
      <c r="T755" s="41">
        <v>3.4200000000000008</v>
      </c>
      <c r="U755" s="41">
        <v>0.8520000000000002</v>
      </c>
      <c r="V755" s="26">
        <v>2095</v>
      </c>
      <c r="W755" s="26">
        <v>862.00199999999995</v>
      </c>
      <c r="X755" s="33">
        <v>86.617999999999995</v>
      </c>
    </row>
    <row r="756" spans="17:24" x14ac:dyDescent="0.25">
      <c r="Q756" s="14" t="s">
        <v>257</v>
      </c>
      <c r="R756" s="15">
        <v>45404</v>
      </c>
      <c r="S756" s="39">
        <v>899.74105300000008</v>
      </c>
      <c r="T756" s="39">
        <v>6.8400000000000016</v>
      </c>
      <c r="U756" s="39">
        <v>0.84000000000000019</v>
      </c>
      <c r="V756" s="16">
        <v>0</v>
      </c>
      <c r="W756" s="16">
        <v>627.71100000000001</v>
      </c>
      <c r="X756" s="35">
        <v>29.907</v>
      </c>
    </row>
    <row r="757" spans="17:24" x14ac:dyDescent="0.25">
      <c r="Q757" s="19" t="s">
        <v>257</v>
      </c>
      <c r="R757" s="20">
        <v>45404</v>
      </c>
      <c r="S757" s="40">
        <v>899.74105300000008</v>
      </c>
      <c r="T757" s="40">
        <v>6.8400000000000016</v>
      </c>
      <c r="U757" s="40">
        <v>0.84000000000000019</v>
      </c>
      <c r="V757" s="21">
        <v>500</v>
      </c>
      <c r="W757" s="21">
        <v>671.90800000000002</v>
      </c>
      <c r="X757" s="32">
        <v>71.956999999999994</v>
      </c>
    </row>
    <row r="758" spans="17:24" x14ac:dyDescent="0.25">
      <c r="Q758" s="19" t="s">
        <v>257</v>
      </c>
      <c r="R758" s="20">
        <v>45404</v>
      </c>
      <c r="S758" s="40">
        <v>899.74105300000008</v>
      </c>
      <c r="T758" s="40">
        <v>6.8400000000000016</v>
      </c>
      <c r="U758" s="40">
        <v>0.84000000000000019</v>
      </c>
      <c r="V758" s="21">
        <v>1000</v>
      </c>
      <c r="W758" s="21">
        <v>717.31200000000001</v>
      </c>
      <c r="X758" s="32">
        <v>77.343000000000004</v>
      </c>
    </row>
    <row r="759" spans="17:24" x14ac:dyDescent="0.25">
      <c r="Q759" s="19" t="s">
        <v>257</v>
      </c>
      <c r="R759" s="20">
        <v>45404</v>
      </c>
      <c r="S759" s="40">
        <v>899.74105300000008</v>
      </c>
      <c r="T759" s="40">
        <v>6.8400000000000016</v>
      </c>
      <c r="U759" s="40">
        <v>0.84000000000000019</v>
      </c>
      <c r="V759" s="21">
        <v>1500</v>
      </c>
      <c r="W759" s="21">
        <v>761.88699999999994</v>
      </c>
      <c r="X759" s="32">
        <v>81.653999999999996</v>
      </c>
    </row>
    <row r="760" spans="17:24" x14ac:dyDescent="0.25">
      <c r="Q760" s="19" t="s">
        <v>257</v>
      </c>
      <c r="R760" s="20">
        <v>45404</v>
      </c>
      <c r="S760" s="40">
        <v>899.74105300000008</v>
      </c>
      <c r="T760" s="40">
        <v>6.8400000000000016</v>
      </c>
      <c r="U760" s="40">
        <v>0.84000000000000019</v>
      </c>
      <c r="V760" s="21">
        <v>2010</v>
      </c>
      <c r="W760" s="21">
        <v>807.85400000000004</v>
      </c>
      <c r="X760" s="32">
        <v>85.06</v>
      </c>
    </row>
    <row r="761" spans="17:24" x14ac:dyDescent="0.25">
      <c r="Q761" s="19" t="s">
        <v>257</v>
      </c>
      <c r="R761" s="20">
        <v>45404</v>
      </c>
      <c r="S761" s="40">
        <v>899.74105300000008</v>
      </c>
      <c r="T761" s="40">
        <v>6.8400000000000016</v>
      </c>
      <c r="U761" s="40">
        <v>0.84000000000000019</v>
      </c>
      <c r="V761" s="21">
        <v>2060</v>
      </c>
      <c r="W761" s="21">
        <v>811.58500000000004</v>
      </c>
      <c r="X761" s="32">
        <v>85.394000000000005</v>
      </c>
    </row>
    <row r="762" spans="17:24" ht="16.5" thickBot="1" x14ac:dyDescent="0.3">
      <c r="Q762" s="24" t="s">
        <v>257</v>
      </c>
      <c r="R762" s="25">
        <v>45404</v>
      </c>
      <c r="S762" s="41">
        <v>899.74105300000008</v>
      </c>
      <c r="T762" s="41">
        <v>6.8400000000000016</v>
      </c>
      <c r="U762" s="41">
        <v>0.84000000000000019</v>
      </c>
      <c r="V762" s="26">
        <v>2110</v>
      </c>
      <c r="W762" s="26">
        <v>816.52200000000005</v>
      </c>
      <c r="X762" s="33">
        <v>85.736999999999995</v>
      </c>
    </row>
    <row r="763" spans="17:24" x14ac:dyDescent="0.25">
      <c r="Q763" s="14" t="s">
        <v>285</v>
      </c>
      <c r="R763" s="15">
        <v>45414</v>
      </c>
      <c r="S763" s="39">
        <v>950.36599999999999</v>
      </c>
      <c r="T763" s="39">
        <v>5.76</v>
      </c>
      <c r="U763" s="39">
        <v>0.65</v>
      </c>
      <c r="V763" s="16">
        <v>0</v>
      </c>
      <c r="W763" s="16">
        <v>627.60799999999995</v>
      </c>
      <c r="X763" s="35">
        <v>23.059000000000001</v>
      </c>
    </row>
    <row r="764" spans="17:24" x14ac:dyDescent="0.25">
      <c r="Q764" s="19" t="s">
        <v>285</v>
      </c>
      <c r="R764" s="20">
        <v>45414</v>
      </c>
      <c r="S764" s="40">
        <v>950.36599999999999</v>
      </c>
      <c r="T764" s="40">
        <v>5.76</v>
      </c>
      <c r="U764" s="40">
        <v>0.65</v>
      </c>
      <c r="V764" s="21">
        <v>500</v>
      </c>
      <c r="W764" s="21">
        <v>672.84900000000005</v>
      </c>
      <c r="X764" s="32">
        <v>70.236999999999995</v>
      </c>
    </row>
    <row r="765" spans="17:24" x14ac:dyDescent="0.25">
      <c r="Q765" s="19" t="s">
        <v>285</v>
      </c>
      <c r="R765" s="20">
        <v>45414</v>
      </c>
      <c r="S765" s="40">
        <v>950.36599999999999</v>
      </c>
      <c r="T765" s="40">
        <v>5.76</v>
      </c>
      <c r="U765" s="40">
        <v>0.65</v>
      </c>
      <c r="V765" s="21">
        <v>1000</v>
      </c>
      <c r="W765" s="21">
        <v>721.06100000000004</v>
      </c>
      <c r="X765" s="32">
        <v>77.671999999999997</v>
      </c>
    </row>
    <row r="766" spans="17:24" x14ac:dyDescent="0.25">
      <c r="Q766" s="19" t="s">
        <v>285</v>
      </c>
      <c r="R766" s="20">
        <v>45414</v>
      </c>
      <c r="S766" s="40">
        <v>950.36599999999999</v>
      </c>
      <c r="T766" s="40">
        <v>5.76</v>
      </c>
      <c r="U766" s="40">
        <v>0.65</v>
      </c>
      <c r="V766" s="21">
        <v>1500</v>
      </c>
      <c r="W766" s="21">
        <v>766.91700000000003</v>
      </c>
      <c r="X766" s="32">
        <v>82.206000000000003</v>
      </c>
    </row>
    <row r="767" spans="17:24" x14ac:dyDescent="0.25">
      <c r="Q767" s="19" t="s">
        <v>285</v>
      </c>
      <c r="R767" s="20">
        <v>45414</v>
      </c>
      <c r="S767" s="40">
        <v>950.36599999999999</v>
      </c>
      <c r="T767" s="40">
        <v>5.76</v>
      </c>
      <c r="U767" s="40">
        <v>0.65</v>
      </c>
      <c r="V767" s="21">
        <v>2010</v>
      </c>
      <c r="W767" s="21">
        <v>814.18700000000001</v>
      </c>
      <c r="X767" s="32">
        <v>85.665000000000006</v>
      </c>
    </row>
    <row r="768" spans="17:24" x14ac:dyDescent="0.25">
      <c r="Q768" s="19" t="s">
        <v>285</v>
      </c>
      <c r="R768" s="20">
        <v>45414</v>
      </c>
      <c r="S768" s="40">
        <v>950.36599999999999</v>
      </c>
      <c r="T768" s="40">
        <v>5.76</v>
      </c>
      <c r="U768" s="40">
        <v>0.65</v>
      </c>
      <c r="V768" s="21">
        <v>2060</v>
      </c>
      <c r="W768" s="21">
        <v>818.875</v>
      </c>
      <c r="X768" s="32">
        <v>86.186000000000007</v>
      </c>
    </row>
    <row r="769" spans="17:24" ht="16.5" thickBot="1" x14ac:dyDescent="0.3">
      <c r="Q769" s="24" t="s">
        <v>285</v>
      </c>
      <c r="R769" s="25">
        <v>45414</v>
      </c>
      <c r="S769" s="41">
        <v>950.36599999999999</v>
      </c>
      <c r="T769" s="41">
        <v>5.76</v>
      </c>
      <c r="U769" s="41">
        <v>0.65</v>
      </c>
      <c r="V769" s="26">
        <v>2110</v>
      </c>
      <c r="W769" s="26">
        <v>824.45399999999995</v>
      </c>
      <c r="X769" s="33">
        <v>86.561000000000007</v>
      </c>
    </row>
    <row r="770" spans="17:24" x14ac:dyDescent="0.25">
      <c r="Q770" s="14" t="s">
        <v>97</v>
      </c>
      <c r="R770" s="15">
        <v>45450</v>
      </c>
      <c r="S770" s="39">
        <v>1031.93</v>
      </c>
      <c r="T770" s="39">
        <v>10.46</v>
      </c>
      <c r="U770" s="39">
        <v>0.82</v>
      </c>
      <c r="V770" s="16">
        <v>0</v>
      </c>
      <c r="W770" s="16">
        <v>644.74599999999998</v>
      </c>
      <c r="X770" s="35">
        <v>38.017000000000003</v>
      </c>
    </row>
    <row r="771" spans="17:24" x14ac:dyDescent="0.25">
      <c r="Q771" s="19" t="s">
        <v>97</v>
      </c>
      <c r="R771" s="20">
        <v>45450</v>
      </c>
      <c r="S771" s="40">
        <v>1031.93</v>
      </c>
      <c r="T771" s="40">
        <v>10.46</v>
      </c>
      <c r="U771" s="40">
        <v>0.82</v>
      </c>
      <c r="V771" s="21">
        <v>500</v>
      </c>
      <c r="W771" s="21">
        <v>698.33900000000006</v>
      </c>
      <c r="X771" s="32">
        <v>73.608999999999995</v>
      </c>
    </row>
    <row r="772" spans="17:24" x14ac:dyDescent="0.25">
      <c r="Q772" s="19" t="s">
        <v>97</v>
      </c>
      <c r="R772" s="20">
        <v>45450</v>
      </c>
      <c r="S772" s="40">
        <v>1031.93</v>
      </c>
      <c r="T772" s="40">
        <v>10.46</v>
      </c>
      <c r="U772" s="40">
        <v>0.82</v>
      </c>
      <c r="V772" s="21">
        <v>1000</v>
      </c>
      <c r="W772" s="21">
        <v>749.16</v>
      </c>
      <c r="X772" s="32">
        <v>78.95</v>
      </c>
    </row>
    <row r="773" spans="17:24" x14ac:dyDescent="0.25">
      <c r="Q773" s="19" t="s">
        <v>97</v>
      </c>
      <c r="R773" s="20">
        <v>45450</v>
      </c>
      <c r="S773" s="40">
        <v>1031.93</v>
      </c>
      <c r="T773" s="40">
        <v>10.46</v>
      </c>
      <c r="U773" s="40">
        <v>0.82</v>
      </c>
      <c r="V773" s="21">
        <v>1500</v>
      </c>
      <c r="W773" s="21">
        <v>798.44399999999996</v>
      </c>
      <c r="X773" s="32">
        <v>83.394999999999996</v>
      </c>
    </row>
    <row r="774" spans="17:24" x14ac:dyDescent="0.25">
      <c r="Q774" s="19" t="s">
        <v>97</v>
      </c>
      <c r="R774" s="20">
        <v>45450</v>
      </c>
      <c r="S774" s="40">
        <v>1031.93</v>
      </c>
      <c r="T774" s="40">
        <v>10.46</v>
      </c>
      <c r="U774" s="40">
        <v>0.82</v>
      </c>
      <c r="V774" s="21">
        <v>2000</v>
      </c>
      <c r="W774" s="21">
        <v>848.99800000000005</v>
      </c>
      <c r="X774" s="32">
        <v>87.013999999999996</v>
      </c>
    </row>
    <row r="775" spans="17:24" x14ac:dyDescent="0.25">
      <c r="Q775" s="19" t="s">
        <v>97</v>
      </c>
      <c r="R775" s="20">
        <v>45450</v>
      </c>
      <c r="S775" s="40">
        <v>1031.93</v>
      </c>
      <c r="T775" s="40">
        <v>10.46</v>
      </c>
      <c r="U775" s="40">
        <v>0.82</v>
      </c>
      <c r="V775" s="21">
        <v>2070</v>
      </c>
      <c r="W775" s="21">
        <v>855.197</v>
      </c>
      <c r="X775" s="32">
        <v>87.503</v>
      </c>
    </row>
    <row r="776" spans="17:24" ht="16.5" thickBot="1" x14ac:dyDescent="0.3">
      <c r="Q776" s="24" t="s">
        <v>97</v>
      </c>
      <c r="R776" s="25">
        <v>45450</v>
      </c>
      <c r="S776" s="41">
        <v>1031.93</v>
      </c>
      <c r="T776" s="41">
        <v>10.46</v>
      </c>
      <c r="U776" s="41">
        <v>0.82</v>
      </c>
      <c r="V776" s="26">
        <v>2120</v>
      </c>
      <c r="W776" s="26">
        <v>860.44500000000005</v>
      </c>
      <c r="X776" s="33">
        <v>87.837999999999994</v>
      </c>
    </row>
    <row r="777" spans="17:24" x14ac:dyDescent="0.25">
      <c r="Q777" s="14" t="s">
        <v>224</v>
      </c>
      <c r="R777" s="15">
        <v>45362</v>
      </c>
      <c r="S777" s="39">
        <v>596.76700000000005</v>
      </c>
      <c r="T777" s="39">
        <v>7.8</v>
      </c>
      <c r="U777" s="39">
        <v>0.78</v>
      </c>
      <c r="V777" s="16">
        <v>0</v>
      </c>
      <c r="W777" s="16">
        <v>551.02700000000004</v>
      </c>
      <c r="X777" s="35">
        <v>20.306000000000001</v>
      </c>
    </row>
    <row r="778" spans="17:24" x14ac:dyDescent="0.25">
      <c r="Q778" s="19" t="s">
        <v>224</v>
      </c>
      <c r="R778" s="20">
        <v>45362</v>
      </c>
      <c r="S778" s="40">
        <v>596.76700000000005</v>
      </c>
      <c r="T778" s="40">
        <v>7.8</v>
      </c>
      <c r="U778" s="40">
        <v>0.78</v>
      </c>
      <c r="V778" s="21">
        <v>1000</v>
      </c>
      <c r="W778" s="21">
        <v>626.04700000000003</v>
      </c>
      <c r="X778" s="32">
        <v>74.200999999999993</v>
      </c>
    </row>
    <row r="779" spans="17:24" x14ac:dyDescent="0.25">
      <c r="Q779" s="19" t="s">
        <v>224</v>
      </c>
      <c r="R779" s="20">
        <v>45362</v>
      </c>
      <c r="S779" s="40">
        <v>596.76700000000005</v>
      </c>
      <c r="T779" s="40">
        <v>7.8</v>
      </c>
      <c r="U779" s="40">
        <v>0.78</v>
      </c>
      <c r="V779" s="21">
        <v>2015</v>
      </c>
      <c r="W779" s="21">
        <v>700.94500000000005</v>
      </c>
      <c r="X779" s="32">
        <v>83.656999999999996</v>
      </c>
    </row>
    <row r="780" spans="17:24" x14ac:dyDescent="0.25">
      <c r="Q780" s="19" t="s">
        <v>224</v>
      </c>
      <c r="R780" s="20">
        <v>45362</v>
      </c>
      <c r="S780" s="40">
        <v>596.76700000000005</v>
      </c>
      <c r="T780" s="40">
        <v>7.8</v>
      </c>
      <c r="U780" s="40">
        <v>0.78</v>
      </c>
      <c r="V780" s="21">
        <v>2065</v>
      </c>
      <c r="W780" s="21">
        <v>705.64499999999998</v>
      </c>
      <c r="X780" s="32">
        <v>84.885000000000005</v>
      </c>
    </row>
    <row r="781" spans="17:24" x14ac:dyDescent="0.25">
      <c r="Q781" s="19" t="s">
        <v>224</v>
      </c>
      <c r="R781" s="20">
        <v>45362</v>
      </c>
      <c r="S781" s="40">
        <v>596.76700000000005</v>
      </c>
      <c r="T781" s="40">
        <v>7.8</v>
      </c>
      <c r="U781" s="40">
        <v>0.78</v>
      </c>
      <c r="V781" s="21">
        <v>2115</v>
      </c>
      <c r="W781" s="21">
        <v>703.44500000000005</v>
      </c>
      <c r="X781" s="32">
        <v>85.784999999999997</v>
      </c>
    </row>
    <row r="782" spans="17:24" x14ac:dyDescent="0.25">
      <c r="Q782" s="19" t="s">
        <v>224</v>
      </c>
      <c r="R782" s="20">
        <v>45362</v>
      </c>
      <c r="S782" s="40">
        <v>407.24700000000001</v>
      </c>
      <c r="T782" s="40">
        <v>5.4</v>
      </c>
      <c r="U782" s="40">
        <v>0.48</v>
      </c>
      <c r="V782" s="21">
        <v>2115</v>
      </c>
      <c r="W782" s="21">
        <v>795.26599999999996</v>
      </c>
      <c r="X782" s="32">
        <v>87.251999999999995</v>
      </c>
    </row>
    <row r="783" spans="17:24" x14ac:dyDescent="0.25">
      <c r="Q783" s="19" t="s">
        <v>224</v>
      </c>
      <c r="R783" s="20">
        <v>45362</v>
      </c>
      <c r="S783" s="40">
        <v>407.24700000000001</v>
      </c>
      <c r="T783" s="40">
        <v>5.4</v>
      </c>
      <c r="U783" s="40">
        <v>0.48</v>
      </c>
      <c r="V783" s="21">
        <v>2065</v>
      </c>
      <c r="W783" s="21">
        <v>792.58</v>
      </c>
      <c r="X783" s="32">
        <v>87.116</v>
      </c>
    </row>
    <row r="784" spans="17:24" x14ac:dyDescent="0.25">
      <c r="Q784" s="19" t="s">
        <v>224</v>
      </c>
      <c r="R784" s="20">
        <v>45362</v>
      </c>
      <c r="S784" s="40">
        <v>407.24700000000001</v>
      </c>
      <c r="T784" s="40">
        <v>5.4</v>
      </c>
      <c r="U784" s="40">
        <v>0.48</v>
      </c>
      <c r="V784" s="21">
        <v>2015</v>
      </c>
      <c r="W784" s="21">
        <v>789.91399999999999</v>
      </c>
      <c r="X784" s="32">
        <v>86.894000000000005</v>
      </c>
    </row>
    <row r="785" spans="17:24" x14ac:dyDescent="0.25">
      <c r="Q785" s="19" t="s">
        <v>224</v>
      </c>
      <c r="R785" s="20">
        <v>45362</v>
      </c>
      <c r="S785" s="40">
        <v>407.24700000000001</v>
      </c>
      <c r="T785" s="40">
        <v>5.4</v>
      </c>
      <c r="U785" s="40">
        <v>0.48</v>
      </c>
      <c r="V785" s="21">
        <v>1000</v>
      </c>
      <c r="W785" s="21">
        <v>728.31700000000001</v>
      </c>
      <c r="X785" s="32">
        <v>81.691999999999993</v>
      </c>
    </row>
    <row r="786" spans="17:24" ht="16.5" thickBot="1" x14ac:dyDescent="0.3">
      <c r="Q786" s="19" t="s">
        <v>224</v>
      </c>
      <c r="R786" s="20">
        <v>45362</v>
      </c>
      <c r="S786" s="40">
        <v>407.24700000000001</v>
      </c>
      <c r="T786" s="40">
        <v>5.4</v>
      </c>
      <c r="U786" s="40">
        <v>0.48</v>
      </c>
      <c r="V786" s="21">
        <v>0</v>
      </c>
      <c r="W786" s="21">
        <v>670.947</v>
      </c>
      <c r="X786" s="32">
        <v>57.442999999999998</v>
      </c>
    </row>
    <row r="787" spans="17:24" x14ac:dyDescent="0.25">
      <c r="Q787" s="14" t="s">
        <v>248</v>
      </c>
      <c r="R787" s="15">
        <v>45353</v>
      </c>
      <c r="S787" s="39">
        <v>855.00599999999997</v>
      </c>
      <c r="T787" s="39">
        <v>11.2</v>
      </c>
      <c r="U787" s="39">
        <v>1.04</v>
      </c>
      <c r="V787" s="16">
        <v>0</v>
      </c>
      <c r="W787" s="16">
        <v>649.55799999999999</v>
      </c>
      <c r="X787" s="35">
        <v>15.089</v>
      </c>
    </row>
    <row r="788" spans="17:24" x14ac:dyDescent="0.25">
      <c r="Q788" s="19" t="s">
        <v>248</v>
      </c>
      <c r="R788" s="20">
        <v>45353</v>
      </c>
      <c r="S788" s="40">
        <v>855.00599999999997</v>
      </c>
      <c r="T788" s="40">
        <v>11.2</v>
      </c>
      <c r="U788" s="40">
        <v>1.04</v>
      </c>
      <c r="V788" s="21">
        <v>1000</v>
      </c>
      <c r="W788" s="21">
        <v>733.14599999999996</v>
      </c>
      <c r="X788" s="32">
        <v>68.328999999999994</v>
      </c>
    </row>
    <row r="789" spans="17:24" x14ac:dyDescent="0.25">
      <c r="Q789" s="19" t="s">
        <v>248</v>
      </c>
      <c r="R789" s="20">
        <v>45353</v>
      </c>
      <c r="S789" s="40">
        <v>855.00599999999997</v>
      </c>
      <c r="T789" s="40">
        <v>11.2</v>
      </c>
      <c r="U789" s="40">
        <v>1.04</v>
      </c>
      <c r="V789" s="21">
        <v>2090</v>
      </c>
      <c r="W789" s="21">
        <v>830.89300000000003</v>
      </c>
      <c r="X789" s="32">
        <v>85.632000000000005</v>
      </c>
    </row>
    <row r="790" spans="17:24" x14ac:dyDescent="0.25">
      <c r="Q790" s="19" t="s">
        <v>248</v>
      </c>
      <c r="R790" s="20">
        <v>45353</v>
      </c>
      <c r="S790" s="40">
        <v>855.00599999999997</v>
      </c>
      <c r="T790" s="40">
        <v>11.2</v>
      </c>
      <c r="U790" s="40">
        <v>1.04</v>
      </c>
      <c r="V790" s="21">
        <v>2140</v>
      </c>
      <c r="W790" s="21">
        <v>836.28</v>
      </c>
      <c r="X790" s="32">
        <v>88.522999999999996</v>
      </c>
    </row>
    <row r="791" spans="17:24" x14ac:dyDescent="0.25">
      <c r="Q791" s="19" t="s">
        <v>248</v>
      </c>
      <c r="R791" s="20">
        <v>45353</v>
      </c>
      <c r="S791" s="40">
        <v>855.00599999999997</v>
      </c>
      <c r="T791" s="40">
        <v>11.2</v>
      </c>
      <c r="U791" s="40">
        <v>1.04</v>
      </c>
      <c r="V791" s="21">
        <v>2190</v>
      </c>
      <c r="W791" s="21">
        <v>840.63699999999994</v>
      </c>
      <c r="X791" s="32">
        <v>90.328999999999994</v>
      </c>
    </row>
    <row r="792" spans="17:24" x14ac:dyDescent="0.25">
      <c r="Q792" s="19" t="s">
        <v>248</v>
      </c>
      <c r="R792" s="20">
        <v>45353</v>
      </c>
      <c r="S792" s="40">
        <v>652.98900000000003</v>
      </c>
      <c r="T792" s="40">
        <v>8.8000000000000007</v>
      </c>
      <c r="U792" s="40">
        <v>0.64</v>
      </c>
      <c r="V792" s="21">
        <v>2190</v>
      </c>
      <c r="W792" s="21">
        <v>868.44100000000003</v>
      </c>
      <c r="X792" s="32">
        <v>90.85</v>
      </c>
    </row>
    <row r="793" spans="17:24" x14ac:dyDescent="0.25">
      <c r="Q793" s="19" t="s">
        <v>248</v>
      </c>
      <c r="R793" s="20">
        <v>45353</v>
      </c>
      <c r="S793" s="40">
        <v>652.98900000000003</v>
      </c>
      <c r="T793" s="40">
        <v>8.8000000000000007</v>
      </c>
      <c r="U793" s="40">
        <v>0.64</v>
      </c>
      <c r="V793" s="21">
        <v>2140</v>
      </c>
      <c r="W793" s="21">
        <v>864.46699999999998</v>
      </c>
      <c r="X793" s="32">
        <v>90.727000000000004</v>
      </c>
    </row>
    <row r="794" spans="17:24" x14ac:dyDescent="0.25">
      <c r="Q794" s="19" t="s">
        <v>248</v>
      </c>
      <c r="R794" s="20">
        <v>45353</v>
      </c>
      <c r="S794" s="40">
        <v>652.98900000000003</v>
      </c>
      <c r="T794" s="40">
        <v>8.8000000000000007</v>
      </c>
      <c r="U794" s="40">
        <v>0.64</v>
      </c>
      <c r="V794" s="21">
        <v>2090</v>
      </c>
      <c r="W794" s="21">
        <v>860.76700000000005</v>
      </c>
      <c r="X794" s="32">
        <v>90.492999999999995</v>
      </c>
    </row>
    <row r="795" spans="17:24" x14ac:dyDescent="0.25">
      <c r="Q795" s="19" t="s">
        <v>248</v>
      </c>
      <c r="R795" s="20">
        <v>45353</v>
      </c>
      <c r="S795" s="40">
        <v>652.98900000000003</v>
      </c>
      <c r="T795" s="40">
        <v>8.8000000000000007</v>
      </c>
      <c r="U795" s="40">
        <v>0.64</v>
      </c>
      <c r="V795" s="21">
        <v>1000</v>
      </c>
      <c r="W795" s="21">
        <v>776.64099999999996</v>
      </c>
      <c r="X795" s="32">
        <v>84.510999999999996</v>
      </c>
    </row>
    <row r="796" spans="17:24" x14ac:dyDescent="0.25">
      <c r="Q796" s="19" t="s">
        <v>248</v>
      </c>
      <c r="R796" s="20">
        <v>45353</v>
      </c>
      <c r="S796" s="40">
        <v>652.98900000000003</v>
      </c>
      <c r="T796" s="40">
        <v>8.8000000000000007</v>
      </c>
      <c r="U796" s="40">
        <v>0.64</v>
      </c>
      <c r="V796" s="21">
        <v>0</v>
      </c>
      <c r="W796" s="21">
        <v>702.721</v>
      </c>
      <c r="X796" s="32">
        <v>61.86</v>
      </c>
    </row>
    <row r="797" spans="17:24" x14ac:dyDescent="0.25">
      <c r="Q797" s="19" t="s">
        <v>248</v>
      </c>
      <c r="R797" s="20">
        <v>45354</v>
      </c>
      <c r="S797" s="40">
        <v>477.85700000000003</v>
      </c>
      <c r="T797" s="40">
        <v>7.6</v>
      </c>
      <c r="U797" s="40">
        <v>0.48</v>
      </c>
      <c r="V797" s="21">
        <v>0</v>
      </c>
      <c r="W797" s="21">
        <v>731.471</v>
      </c>
      <c r="X797" s="32">
        <v>14.765000000000001</v>
      </c>
    </row>
    <row r="798" spans="17:24" x14ac:dyDescent="0.25">
      <c r="Q798" s="19" t="s">
        <v>248</v>
      </c>
      <c r="R798" s="20">
        <v>45354</v>
      </c>
      <c r="S798" s="40">
        <v>477.85700000000003</v>
      </c>
      <c r="T798" s="40">
        <v>7.6</v>
      </c>
      <c r="U798" s="40">
        <v>0.48</v>
      </c>
      <c r="V798" s="21">
        <v>1000</v>
      </c>
      <c r="W798" s="21">
        <v>798.01300000000003</v>
      </c>
      <c r="X798" s="32">
        <v>64.724000000000004</v>
      </c>
    </row>
    <row r="799" spans="17:24" x14ac:dyDescent="0.25">
      <c r="Q799" s="19" t="s">
        <v>248</v>
      </c>
      <c r="R799" s="20">
        <v>45354</v>
      </c>
      <c r="S799" s="40">
        <v>477.85700000000003</v>
      </c>
      <c r="T799" s="40">
        <v>7.6</v>
      </c>
      <c r="U799" s="40">
        <v>0.48</v>
      </c>
      <c r="V799" s="21">
        <v>2090</v>
      </c>
      <c r="W799" s="21">
        <v>879.65499999999997</v>
      </c>
      <c r="X799" s="32">
        <v>86.081999999999994</v>
      </c>
    </row>
    <row r="800" spans="17:24" x14ac:dyDescent="0.25">
      <c r="Q800" s="19" t="s">
        <v>248</v>
      </c>
      <c r="R800" s="20">
        <v>45354</v>
      </c>
      <c r="S800" s="40">
        <v>477.85700000000003</v>
      </c>
      <c r="T800" s="40">
        <v>7.6</v>
      </c>
      <c r="U800" s="40">
        <v>0.48</v>
      </c>
      <c r="V800" s="21">
        <v>2140</v>
      </c>
      <c r="W800" s="21">
        <v>884.62699999999995</v>
      </c>
      <c r="X800" s="32">
        <v>89.146000000000001</v>
      </c>
    </row>
    <row r="801" spans="17:24" ht="16.5" thickBot="1" x14ac:dyDescent="0.3">
      <c r="Q801" s="24" t="s">
        <v>248</v>
      </c>
      <c r="R801" s="25">
        <v>45354</v>
      </c>
      <c r="S801" s="41">
        <v>477.85700000000003</v>
      </c>
      <c r="T801" s="41">
        <v>7.6</v>
      </c>
      <c r="U801" s="41">
        <v>0.48</v>
      </c>
      <c r="V801" s="26">
        <v>2190</v>
      </c>
      <c r="W801" s="26">
        <v>889.91800000000001</v>
      </c>
      <c r="X801" s="33">
        <v>91.19</v>
      </c>
    </row>
    <row r="802" spans="17:24" x14ac:dyDescent="0.25">
      <c r="Q802" s="19" t="s">
        <v>153</v>
      </c>
      <c r="R802" s="20">
        <v>45449</v>
      </c>
      <c r="S802" s="40">
        <v>959.84699999999998</v>
      </c>
      <c r="T802" s="40">
        <v>11.23</v>
      </c>
      <c r="U802" s="40">
        <v>0.56000000000000005</v>
      </c>
      <c r="V802" s="21">
        <v>0</v>
      </c>
      <c r="W802" s="21">
        <v>647.64800000000002</v>
      </c>
      <c r="X802" s="32">
        <v>38.015000000000001</v>
      </c>
    </row>
    <row r="803" spans="17:24" x14ac:dyDescent="0.25">
      <c r="Q803" s="19" t="s">
        <v>153</v>
      </c>
      <c r="R803" s="20">
        <v>45449</v>
      </c>
      <c r="S803" s="40">
        <v>959.84699999999998</v>
      </c>
      <c r="T803" s="40">
        <v>11.23</v>
      </c>
      <c r="U803" s="40">
        <v>0.56000000000000005</v>
      </c>
      <c r="V803" s="21">
        <v>500</v>
      </c>
      <c r="W803" s="21">
        <v>695.875</v>
      </c>
      <c r="X803" s="32">
        <v>73.73</v>
      </c>
    </row>
    <row r="804" spans="17:24" x14ac:dyDescent="0.25">
      <c r="Q804" s="19" t="s">
        <v>153</v>
      </c>
      <c r="R804" s="20">
        <v>45449</v>
      </c>
      <c r="S804" s="40">
        <v>959.84699999999998</v>
      </c>
      <c r="T804" s="40">
        <v>11.23</v>
      </c>
      <c r="U804" s="40">
        <v>0.56000000000000005</v>
      </c>
      <c r="V804" s="21">
        <v>1000</v>
      </c>
      <c r="W804" s="21">
        <v>740.64800000000002</v>
      </c>
      <c r="X804" s="32">
        <v>78.856999999999999</v>
      </c>
    </row>
    <row r="805" spans="17:24" x14ac:dyDescent="0.25">
      <c r="Q805" s="19" t="s">
        <v>153</v>
      </c>
      <c r="R805" s="20">
        <v>45449</v>
      </c>
      <c r="S805" s="40">
        <v>959.84699999999998</v>
      </c>
      <c r="T805" s="40">
        <v>11.23</v>
      </c>
      <c r="U805" s="40">
        <v>0.56000000000000005</v>
      </c>
      <c r="V805" s="21">
        <v>1500</v>
      </c>
      <c r="W805" s="21">
        <v>786.23099999999999</v>
      </c>
      <c r="X805" s="32">
        <v>83.230999999999995</v>
      </c>
    </row>
    <row r="806" spans="17:24" x14ac:dyDescent="0.25">
      <c r="Q806" s="19" t="s">
        <v>153</v>
      </c>
      <c r="R806" s="20">
        <v>45449</v>
      </c>
      <c r="S806" s="40">
        <v>959.84699999999998</v>
      </c>
      <c r="T806" s="40">
        <v>11.23</v>
      </c>
      <c r="U806" s="40">
        <v>0.56000000000000005</v>
      </c>
      <c r="V806" s="21">
        <v>1875</v>
      </c>
      <c r="W806" s="21">
        <v>820.59299999999996</v>
      </c>
      <c r="X806" s="32">
        <v>86.013000000000005</v>
      </c>
    </row>
    <row r="807" spans="17:24" ht="16.5" thickBot="1" x14ac:dyDescent="0.3">
      <c r="Q807" s="24" t="s">
        <v>153</v>
      </c>
      <c r="R807" s="25">
        <v>45449</v>
      </c>
      <c r="S807" s="41">
        <v>959.84699999999998</v>
      </c>
      <c r="T807" s="41">
        <v>11.23</v>
      </c>
      <c r="U807" s="41">
        <v>0.56000000000000005</v>
      </c>
      <c r="V807" s="26">
        <v>1925</v>
      </c>
      <c r="W807" s="26">
        <v>824.89</v>
      </c>
      <c r="X807" s="33">
        <v>86.522999999999996</v>
      </c>
    </row>
    <row r="808" spans="17:24" x14ac:dyDescent="0.25">
      <c r="Q808" s="19" t="s">
        <v>254</v>
      </c>
      <c r="R808" s="20">
        <v>45464</v>
      </c>
      <c r="S808" s="40">
        <v>628.03167360000009</v>
      </c>
      <c r="T808" s="40">
        <v>8.9712000000000032</v>
      </c>
      <c r="U808" s="40">
        <v>0.60480000000000023</v>
      </c>
      <c r="V808" s="21">
        <v>0</v>
      </c>
      <c r="W808" s="21">
        <v>548.774</v>
      </c>
      <c r="X808" s="32">
        <v>40.731000000000002</v>
      </c>
    </row>
    <row r="809" spans="17:24" x14ac:dyDescent="0.25">
      <c r="Q809" s="19" t="s">
        <v>254</v>
      </c>
      <c r="R809" s="20">
        <v>45464</v>
      </c>
      <c r="S809" s="40">
        <v>628.03167360000009</v>
      </c>
      <c r="T809" s="40">
        <v>8.9712000000000032</v>
      </c>
      <c r="U809" s="40">
        <v>0.60480000000000023</v>
      </c>
      <c r="V809" s="21">
        <v>500</v>
      </c>
      <c r="W809" s="21">
        <v>583.88300000000004</v>
      </c>
      <c r="X809" s="32">
        <v>73.138999999999996</v>
      </c>
    </row>
    <row r="810" spans="17:24" x14ac:dyDescent="0.25">
      <c r="Q810" s="19" t="s">
        <v>254</v>
      </c>
      <c r="R810" s="20">
        <v>45464</v>
      </c>
      <c r="S810" s="40">
        <v>628.03167360000009</v>
      </c>
      <c r="T810" s="40">
        <v>8.9712000000000032</v>
      </c>
      <c r="U810" s="40">
        <v>0.60480000000000023</v>
      </c>
      <c r="V810" s="21">
        <v>1000</v>
      </c>
      <c r="W810" s="21">
        <v>619.27800000000002</v>
      </c>
      <c r="X810" s="32">
        <v>78.974999999999994</v>
      </c>
    </row>
    <row r="811" spans="17:24" x14ac:dyDescent="0.25">
      <c r="Q811" s="19" t="s">
        <v>254</v>
      </c>
      <c r="R811" s="20">
        <v>45464</v>
      </c>
      <c r="S811" s="40">
        <v>628.03167360000009</v>
      </c>
      <c r="T811" s="40">
        <v>8.9712000000000032</v>
      </c>
      <c r="U811" s="40">
        <v>0.60480000000000023</v>
      </c>
      <c r="V811" s="21">
        <v>1500</v>
      </c>
      <c r="W811" s="21">
        <v>655.99099999999999</v>
      </c>
      <c r="X811" s="32">
        <v>83.87</v>
      </c>
    </row>
    <row r="812" spans="17:24" x14ac:dyDescent="0.25">
      <c r="Q812" s="19" t="s">
        <v>254</v>
      </c>
      <c r="R812" s="20">
        <v>45464</v>
      </c>
      <c r="S812" s="40">
        <v>628.03167360000009</v>
      </c>
      <c r="T812" s="40">
        <v>8.9712000000000032</v>
      </c>
      <c r="U812" s="40">
        <v>0.60480000000000023</v>
      </c>
      <c r="V812" s="21">
        <v>2150</v>
      </c>
      <c r="W812" s="21">
        <v>703.56700000000001</v>
      </c>
      <c r="X812" s="32">
        <v>88.028000000000006</v>
      </c>
    </row>
    <row r="813" spans="17:24" ht="16.5" thickBot="1" x14ac:dyDescent="0.3">
      <c r="Q813" s="24" t="s">
        <v>254</v>
      </c>
      <c r="R813" s="25">
        <v>45464</v>
      </c>
      <c r="S813" s="41">
        <v>628.03167360000009</v>
      </c>
      <c r="T813" s="41">
        <v>8.9712000000000032</v>
      </c>
      <c r="U813" s="41">
        <v>0.60480000000000023</v>
      </c>
      <c r="V813" s="26">
        <v>2200</v>
      </c>
      <c r="W813" s="26">
        <v>706.82899999999995</v>
      </c>
      <c r="X813" s="33">
        <v>88.369</v>
      </c>
    </row>
    <row r="814" spans="17:24" x14ac:dyDescent="0.25">
      <c r="Q814" s="19" t="s">
        <v>126</v>
      </c>
      <c r="R814" s="20">
        <v>45388</v>
      </c>
      <c r="S814" s="40">
        <v>692.50900000000001</v>
      </c>
      <c r="T814" s="40">
        <v>7.08</v>
      </c>
      <c r="U814" s="40">
        <v>0.72</v>
      </c>
      <c r="V814" s="21">
        <v>0</v>
      </c>
      <c r="W814" s="21">
        <v>574.37</v>
      </c>
      <c r="X814" s="32">
        <v>32.799999999999997</v>
      </c>
    </row>
    <row r="815" spans="17:24" x14ac:dyDescent="0.25">
      <c r="Q815" s="19" t="s">
        <v>126</v>
      </c>
      <c r="R815" s="20">
        <v>45388</v>
      </c>
      <c r="S815" s="40">
        <v>692.50900000000001</v>
      </c>
      <c r="T815" s="40">
        <v>7.08</v>
      </c>
      <c r="U815" s="40">
        <v>0.72</v>
      </c>
      <c r="V815" s="21">
        <v>500</v>
      </c>
      <c r="W815" s="21">
        <v>613.85</v>
      </c>
      <c r="X815" s="32">
        <v>73.900000000000006</v>
      </c>
    </row>
    <row r="816" spans="17:24" x14ac:dyDescent="0.25">
      <c r="Q816" s="19" t="s">
        <v>126</v>
      </c>
      <c r="R816" s="20">
        <v>45388</v>
      </c>
      <c r="S816" s="40">
        <v>692.50900000000001</v>
      </c>
      <c r="T816" s="40">
        <v>7.08</v>
      </c>
      <c r="U816" s="40">
        <v>0.72</v>
      </c>
      <c r="V816" s="21">
        <v>1000</v>
      </c>
      <c r="W816" s="21">
        <v>653.17999999999995</v>
      </c>
      <c r="X816" s="32">
        <v>80.099999999999994</v>
      </c>
    </row>
    <row r="817" spans="17:24" x14ac:dyDescent="0.25">
      <c r="Q817" s="19" t="s">
        <v>126</v>
      </c>
      <c r="R817" s="20">
        <v>45388</v>
      </c>
      <c r="S817" s="40">
        <v>692.50900000000001</v>
      </c>
      <c r="T817" s="40">
        <v>7.08</v>
      </c>
      <c r="U817" s="40">
        <v>0.72</v>
      </c>
      <c r="V817" s="21">
        <v>1500</v>
      </c>
      <c r="W817" s="21">
        <v>693.04</v>
      </c>
      <c r="X817" s="32">
        <v>85</v>
      </c>
    </row>
    <row r="818" spans="17:24" x14ac:dyDescent="0.25">
      <c r="Q818" s="19" t="s">
        <v>126</v>
      </c>
      <c r="R818" s="20">
        <v>45388</v>
      </c>
      <c r="S818" s="40">
        <v>692.50900000000001</v>
      </c>
      <c r="T818" s="40">
        <v>7.08</v>
      </c>
      <c r="U818" s="40">
        <v>0.72</v>
      </c>
      <c r="V818" s="21">
        <v>2000</v>
      </c>
      <c r="W818" s="21">
        <v>731.53</v>
      </c>
      <c r="X818" s="32">
        <v>88.4</v>
      </c>
    </row>
    <row r="819" spans="17:24" ht="16.5" thickBot="1" x14ac:dyDescent="0.3">
      <c r="Q819" s="19" t="s">
        <v>126</v>
      </c>
      <c r="R819" s="20">
        <v>45388</v>
      </c>
      <c r="S819" s="40">
        <v>692.50900000000001</v>
      </c>
      <c r="T819" s="40">
        <v>7.08</v>
      </c>
      <c r="U819" s="40">
        <v>0.72</v>
      </c>
      <c r="V819" s="21">
        <v>2175</v>
      </c>
      <c r="W819" s="21">
        <v>743.1</v>
      </c>
      <c r="X819" s="32">
        <v>89.4</v>
      </c>
    </row>
    <row r="820" spans="17:24" x14ac:dyDescent="0.25">
      <c r="Q820" s="14" t="s">
        <v>176</v>
      </c>
      <c r="R820" s="15">
        <v>45363</v>
      </c>
      <c r="S820" s="39">
        <v>356.42200000000003</v>
      </c>
      <c r="T820" s="39">
        <v>1.1160000000000001</v>
      </c>
      <c r="U820" s="39">
        <v>0</v>
      </c>
      <c r="V820" s="16">
        <v>0</v>
      </c>
      <c r="W820" s="16">
        <v>559.92899999999997</v>
      </c>
      <c r="X820" s="35">
        <v>23.776</v>
      </c>
    </row>
    <row r="821" spans="17:24" x14ac:dyDescent="0.25">
      <c r="Q821" s="19" t="s">
        <v>176</v>
      </c>
      <c r="R821" s="20">
        <v>45363</v>
      </c>
      <c r="S821" s="40">
        <v>356.42200000000003</v>
      </c>
      <c r="T821" s="40">
        <v>1.1160000000000001</v>
      </c>
      <c r="U821" s="40">
        <v>0</v>
      </c>
      <c r="V821" s="21">
        <v>1000</v>
      </c>
      <c r="W821" s="21">
        <v>615.59799999999996</v>
      </c>
      <c r="X821" s="32">
        <v>59.912999999999997</v>
      </c>
    </row>
    <row r="822" spans="17:24" x14ac:dyDescent="0.25">
      <c r="Q822" s="19" t="s">
        <v>176</v>
      </c>
      <c r="R822" s="20">
        <v>45363</v>
      </c>
      <c r="S822" s="40">
        <v>356.42200000000003</v>
      </c>
      <c r="T822" s="40">
        <v>1.1160000000000001</v>
      </c>
      <c r="U822" s="40">
        <v>0</v>
      </c>
      <c r="V822" s="21">
        <v>2070</v>
      </c>
      <c r="W822" s="21">
        <v>677.09299999999996</v>
      </c>
      <c r="X822" s="32">
        <v>79.736999999999995</v>
      </c>
    </row>
    <row r="823" spans="17:24" x14ac:dyDescent="0.25">
      <c r="Q823" s="19" t="s">
        <v>176</v>
      </c>
      <c r="R823" s="20">
        <v>45363</v>
      </c>
      <c r="S823" s="40">
        <v>356.42200000000003</v>
      </c>
      <c r="T823" s="40">
        <v>1.1160000000000001</v>
      </c>
      <c r="U823" s="40">
        <v>0</v>
      </c>
      <c r="V823" s="21">
        <v>2120</v>
      </c>
      <c r="W823" s="21">
        <v>680.94500000000005</v>
      </c>
      <c r="X823" s="32">
        <v>83.71</v>
      </c>
    </row>
    <row r="824" spans="17:24" x14ac:dyDescent="0.25">
      <c r="Q824" s="19" t="s">
        <v>176</v>
      </c>
      <c r="R824" s="20">
        <v>45363</v>
      </c>
      <c r="S824" s="40">
        <v>356.42200000000003</v>
      </c>
      <c r="T824" s="40">
        <v>1.1160000000000001</v>
      </c>
      <c r="U824" s="40">
        <v>0</v>
      </c>
      <c r="V824" s="21">
        <v>2170</v>
      </c>
      <c r="W824" s="21">
        <v>684.20899999999995</v>
      </c>
      <c r="X824" s="32">
        <v>87.531000000000006</v>
      </c>
    </row>
    <row r="825" spans="17:24" x14ac:dyDescent="0.25">
      <c r="Q825" s="19" t="s">
        <v>176</v>
      </c>
      <c r="R825" s="20">
        <v>45364</v>
      </c>
      <c r="S825" s="40">
        <v>271.51299999999998</v>
      </c>
      <c r="T825" s="40">
        <v>2.23</v>
      </c>
      <c r="U825" s="40">
        <v>0</v>
      </c>
      <c r="V825" s="21">
        <v>0</v>
      </c>
      <c r="W825" s="21">
        <v>619.91800000000001</v>
      </c>
      <c r="X825" s="32">
        <v>16.288</v>
      </c>
    </row>
    <row r="826" spans="17:24" x14ac:dyDescent="0.25">
      <c r="Q826" s="19" t="s">
        <v>176</v>
      </c>
      <c r="R826" s="20">
        <v>45364</v>
      </c>
      <c r="S826" s="40">
        <v>271.51299999999998</v>
      </c>
      <c r="T826" s="40">
        <v>2.23</v>
      </c>
      <c r="U826" s="40">
        <v>0</v>
      </c>
      <c r="V826" s="21">
        <v>1000</v>
      </c>
      <c r="W826" s="21">
        <v>673.43200000000002</v>
      </c>
      <c r="X826" s="32">
        <v>57.984999999999999</v>
      </c>
    </row>
    <row r="827" spans="17:24" x14ac:dyDescent="0.25">
      <c r="Q827" s="19" t="s">
        <v>176</v>
      </c>
      <c r="R827" s="20">
        <v>45364</v>
      </c>
      <c r="S827" s="40">
        <v>271.51299999999998</v>
      </c>
      <c r="T827" s="40">
        <v>2.23</v>
      </c>
      <c r="U827" s="40">
        <v>0</v>
      </c>
      <c r="V827" s="21">
        <v>2070</v>
      </c>
      <c r="W827" s="21">
        <v>736.15800000000002</v>
      </c>
      <c r="X827" s="32">
        <v>79.227000000000004</v>
      </c>
    </row>
    <row r="828" spans="17:24" x14ac:dyDescent="0.25">
      <c r="Q828" s="19" t="s">
        <v>176</v>
      </c>
      <c r="R828" s="20">
        <v>45364</v>
      </c>
      <c r="S828" s="40">
        <v>271.51299999999998</v>
      </c>
      <c r="T828" s="40">
        <v>2.23</v>
      </c>
      <c r="U828" s="40">
        <v>0</v>
      </c>
      <c r="V828" s="21">
        <v>2120</v>
      </c>
      <c r="W828" s="21">
        <v>740.75</v>
      </c>
      <c r="X828" s="32">
        <v>83.692999999999998</v>
      </c>
    </row>
    <row r="829" spans="17:24" x14ac:dyDescent="0.25">
      <c r="Q829" s="19" t="s">
        <v>176</v>
      </c>
      <c r="R829" s="20">
        <v>45364</v>
      </c>
      <c r="S829" s="40">
        <v>271.51299999999998</v>
      </c>
      <c r="T829" s="40">
        <v>2.23</v>
      </c>
      <c r="U829" s="40">
        <v>0</v>
      </c>
      <c r="V829" s="21">
        <v>2170</v>
      </c>
      <c r="W829" s="21">
        <v>745.60500000000002</v>
      </c>
      <c r="X829" s="32">
        <v>88.331000000000003</v>
      </c>
    </row>
    <row r="830" spans="17:24" x14ac:dyDescent="0.25">
      <c r="Q830" s="19" t="s">
        <v>176</v>
      </c>
      <c r="R830" s="20">
        <v>45364</v>
      </c>
      <c r="S830" s="40">
        <v>183.46700000000001</v>
      </c>
      <c r="T830" s="40">
        <v>2.79</v>
      </c>
      <c r="U830" s="40">
        <v>0</v>
      </c>
      <c r="V830" s="21">
        <v>2170</v>
      </c>
      <c r="W830" s="21">
        <v>798.98900000000003</v>
      </c>
      <c r="X830" s="32">
        <v>89.453000000000003</v>
      </c>
    </row>
    <row r="831" spans="17:24" x14ac:dyDescent="0.25">
      <c r="Q831" s="19" t="s">
        <v>176</v>
      </c>
      <c r="R831" s="20">
        <v>45364</v>
      </c>
      <c r="S831" s="40">
        <v>183.46700000000001</v>
      </c>
      <c r="T831" s="40">
        <v>2.79</v>
      </c>
      <c r="U831" s="40">
        <v>0</v>
      </c>
      <c r="V831" s="21">
        <v>2120</v>
      </c>
      <c r="W831" s="21">
        <v>796.19899999999996</v>
      </c>
      <c r="X831" s="32">
        <v>89.364999999999995</v>
      </c>
    </row>
    <row r="832" spans="17:24" x14ac:dyDescent="0.25">
      <c r="Q832" s="19" t="s">
        <v>176</v>
      </c>
      <c r="R832" s="20">
        <v>45364</v>
      </c>
      <c r="S832" s="40">
        <v>183.46700000000001</v>
      </c>
      <c r="T832" s="40">
        <v>2.79</v>
      </c>
      <c r="U832" s="40">
        <v>0</v>
      </c>
      <c r="V832" s="21">
        <v>2070</v>
      </c>
      <c r="W832" s="21">
        <v>793.76</v>
      </c>
      <c r="X832" s="32">
        <v>89.168999999999997</v>
      </c>
    </row>
    <row r="833" spans="17:24" x14ac:dyDescent="0.25">
      <c r="Q833" s="19" t="s">
        <v>176</v>
      </c>
      <c r="R833" s="20">
        <v>45364</v>
      </c>
      <c r="S833" s="40">
        <v>183.46700000000001</v>
      </c>
      <c r="T833" s="40">
        <v>2.79</v>
      </c>
      <c r="U833" s="40">
        <v>0</v>
      </c>
      <c r="V833" s="21">
        <v>1000</v>
      </c>
      <c r="W833" s="21">
        <v>733.36400000000003</v>
      </c>
      <c r="X833" s="32">
        <v>86.691999999999993</v>
      </c>
    </row>
    <row r="834" spans="17:24" ht="16.5" thickBot="1" x14ac:dyDescent="0.3">
      <c r="Q834" s="19" t="s">
        <v>176</v>
      </c>
      <c r="R834" s="20">
        <v>45364</v>
      </c>
      <c r="S834" s="40">
        <v>183.46700000000001</v>
      </c>
      <c r="T834" s="40">
        <v>2.79</v>
      </c>
      <c r="U834" s="40">
        <v>0</v>
      </c>
      <c r="V834" s="21">
        <v>0</v>
      </c>
      <c r="W834" s="21">
        <v>678.32399999999996</v>
      </c>
      <c r="X834" s="32">
        <v>75.703999999999994</v>
      </c>
    </row>
    <row r="835" spans="17:24" x14ac:dyDescent="0.25">
      <c r="Q835" s="14" t="s">
        <v>192</v>
      </c>
      <c r="R835" s="15">
        <v>45356</v>
      </c>
      <c r="S835" s="39">
        <v>468.197</v>
      </c>
      <c r="T835" s="39">
        <v>5.47</v>
      </c>
      <c r="U835" s="39">
        <v>0.44</v>
      </c>
      <c r="V835" s="16">
        <v>2135</v>
      </c>
      <c r="W835" s="16">
        <v>746.09400000000005</v>
      </c>
      <c r="X835" s="35">
        <v>87.867000000000004</v>
      </c>
    </row>
    <row r="836" spans="17:24" x14ac:dyDescent="0.25">
      <c r="Q836" s="19" t="s">
        <v>192</v>
      </c>
      <c r="R836" s="20">
        <v>45356</v>
      </c>
      <c r="S836" s="40">
        <v>468.197</v>
      </c>
      <c r="T836" s="40">
        <v>5.47</v>
      </c>
      <c r="U836" s="40">
        <v>0.44</v>
      </c>
      <c r="V836" s="21">
        <v>2085</v>
      </c>
      <c r="W836" s="21">
        <v>742.16700000000003</v>
      </c>
      <c r="X836" s="32">
        <v>87.784000000000006</v>
      </c>
    </row>
    <row r="837" spans="17:24" x14ac:dyDescent="0.25">
      <c r="Q837" s="19" t="s">
        <v>192</v>
      </c>
      <c r="R837" s="20">
        <v>45356</v>
      </c>
      <c r="S837" s="40">
        <v>468.197</v>
      </c>
      <c r="T837" s="40">
        <v>5.47</v>
      </c>
      <c r="U837" s="40">
        <v>0.44</v>
      </c>
      <c r="V837" s="21">
        <v>2035</v>
      </c>
      <c r="W837" s="21">
        <v>738.49099999999999</v>
      </c>
      <c r="X837" s="32">
        <v>87.585999999999999</v>
      </c>
    </row>
    <row r="838" spans="17:24" x14ac:dyDescent="0.25">
      <c r="Q838" s="19" t="s">
        <v>192</v>
      </c>
      <c r="R838" s="20">
        <v>45356</v>
      </c>
      <c r="S838" s="40">
        <v>468.197</v>
      </c>
      <c r="T838" s="40">
        <v>5.47</v>
      </c>
      <c r="U838" s="40">
        <v>0.44</v>
      </c>
      <c r="V838" s="21">
        <v>1000</v>
      </c>
      <c r="W838" s="21">
        <v>669.08500000000004</v>
      </c>
      <c r="X838" s="32">
        <v>83.988</v>
      </c>
    </row>
    <row r="839" spans="17:24" x14ac:dyDescent="0.25">
      <c r="Q839" s="19" t="s">
        <v>192</v>
      </c>
      <c r="R839" s="20">
        <v>45356</v>
      </c>
      <c r="S839" s="40">
        <v>468.197</v>
      </c>
      <c r="T839" s="40">
        <v>5.47</v>
      </c>
      <c r="U839" s="40">
        <v>0.44</v>
      </c>
      <c r="V839" s="21">
        <v>0</v>
      </c>
      <c r="W839" s="21">
        <v>605.59900000000005</v>
      </c>
      <c r="X839" s="32">
        <v>74.585999999999999</v>
      </c>
    </row>
    <row r="840" spans="17:24" x14ac:dyDescent="0.25">
      <c r="Q840" s="19" t="s">
        <v>192</v>
      </c>
      <c r="R840" s="20">
        <v>45357</v>
      </c>
      <c r="S840" s="40">
        <v>341.82499999999999</v>
      </c>
      <c r="T840" s="40">
        <v>4.0199999999999996</v>
      </c>
      <c r="U840" s="40">
        <v>0.4</v>
      </c>
      <c r="V840" s="21">
        <v>0</v>
      </c>
      <c r="W840" s="21">
        <v>658.15499999999997</v>
      </c>
      <c r="X840" s="32">
        <v>15.407999999999999</v>
      </c>
    </row>
    <row r="841" spans="17:24" x14ac:dyDescent="0.25">
      <c r="Q841" s="19" t="s">
        <v>192</v>
      </c>
      <c r="R841" s="20">
        <v>45357</v>
      </c>
      <c r="S841" s="40">
        <v>341.82499999999999</v>
      </c>
      <c r="T841" s="40">
        <v>4.0199999999999996</v>
      </c>
      <c r="U841" s="40">
        <v>0.4</v>
      </c>
      <c r="V841" s="21">
        <v>1000</v>
      </c>
      <c r="W841" s="21">
        <v>719.82799999999997</v>
      </c>
      <c r="X841" s="32">
        <v>58.311</v>
      </c>
    </row>
    <row r="842" spans="17:24" x14ac:dyDescent="0.25">
      <c r="Q842" s="19" t="s">
        <v>192</v>
      </c>
      <c r="R842" s="20">
        <v>45357</v>
      </c>
      <c r="S842" s="40">
        <v>341.82499999999999</v>
      </c>
      <c r="T842" s="40">
        <v>4.0199999999999996</v>
      </c>
      <c r="U842" s="40">
        <v>0.4</v>
      </c>
      <c r="V842" s="21">
        <v>2035</v>
      </c>
      <c r="W842" s="21">
        <v>788.72400000000005</v>
      </c>
      <c r="X842" s="32">
        <v>80.031000000000006</v>
      </c>
    </row>
    <row r="843" spans="17:24" x14ac:dyDescent="0.25">
      <c r="Q843" s="19" t="s">
        <v>192</v>
      </c>
      <c r="R843" s="20">
        <v>45357</v>
      </c>
      <c r="S843" s="40">
        <v>341.82499999999999</v>
      </c>
      <c r="T843" s="40">
        <v>4.0199999999999996</v>
      </c>
      <c r="U843" s="40">
        <v>0.4</v>
      </c>
      <c r="V843" s="21">
        <v>2085</v>
      </c>
      <c r="W843" s="21">
        <v>793.51499999999999</v>
      </c>
      <c r="X843" s="32">
        <v>84.388000000000005</v>
      </c>
    </row>
    <row r="844" spans="17:24" x14ac:dyDescent="0.25">
      <c r="Q844" s="19" t="s">
        <v>192</v>
      </c>
      <c r="R844" s="20">
        <v>45357</v>
      </c>
      <c r="S844" s="40">
        <v>341.82499999999999</v>
      </c>
      <c r="T844" s="40">
        <v>4.0199999999999996</v>
      </c>
      <c r="U844" s="40">
        <v>0.4</v>
      </c>
      <c r="V844" s="21">
        <v>2135</v>
      </c>
      <c r="W844" s="21">
        <v>799.93600000000004</v>
      </c>
      <c r="X844" s="32">
        <v>88.75</v>
      </c>
    </row>
    <row r="845" spans="17:24" x14ac:dyDescent="0.25">
      <c r="Q845" s="19" t="s">
        <v>192</v>
      </c>
      <c r="R845" s="20">
        <v>45357</v>
      </c>
      <c r="S845" s="40">
        <v>229.58199999999999</v>
      </c>
      <c r="T845" s="40">
        <v>1.86</v>
      </c>
      <c r="U845" s="40">
        <v>0.16</v>
      </c>
      <c r="V845" s="21">
        <v>2135</v>
      </c>
      <c r="W845" s="21">
        <v>846.99199999999996</v>
      </c>
      <c r="X845" s="32">
        <v>89.510999999999996</v>
      </c>
    </row>
    <row r="846" spans="17:24" x14ac:dyDescent="0.25">
      <c r="Q846" s="19" t="s">
        <v>192</v>
      </c>
      <c r="R846" s="20">
        <v>45357</v>
      </c>
      <c r="S846" s="40">
        <v>229.58199999999999</v>
      </c>
      <c r="T846" s="40">
        <v>1.86</v>
      </c>
      <c r="U846" s="40">
        <v>0.16</v>
      </c>
      <c r="V846" s="21">
        <v>2085</v>
      </c>
      <c r="W846" s="21">
        <v>843.86099999999999</v>
      </c>
      <c r="X846" s="32">
        <v>89.418000000000006</v>
      </c>
    </row>
    <row r="847" spans="17:24" x14ac:dyDescent="0.25">
      <c r="Q847" s="19" t="s">
        <v>192</v>
      </c>
      <c r="R847" s="20">
        <v>45357</v>
      </c>
      <c r="S847" s="40">
        <v>229.58199999999999</v>
      </c>
      <c r="T847" s="40">
        <v>1.86</v>
      </c>
      <c r="U847" s="40">
        <v>0.16</v>
      </c>
      <c r="V847" s="21">
        <v>2035</v>
      </c>
      <c r="W847" s="21">
        <v>840.80799999999999</v>
      </c>
      <c r="X847" s="32">
        <v>89.191000000000003</v>
      </c>
    </row>
    <row r="848" spans="17:24" x14ac:dyDescent="0.25">
      <c r="Q848" s="19" t="s">
        <v>192</v>
      </c>
      <c r="R848" s="20">
        <v>45357</v>
      </c>
      <c r="S848" s="40">
        <v>229.58199999999999</v>
      </c>
      <c r="T848" s="40">
        <v>1.86</v>
      </c>
      <c r="U848" s="40">
        <v>0.16</v>
      </c>
      <c r="V848" s="21">
        <v>1000</v>
      </c>
      <c r="W848" s="21">
        <v>777.44</v>
      </c>
      <c r="X848" s="32">
        <v>84.512</v>
      </c>
    </row>
    <row r="849" spans="17:24" ht="16.5" thickBot="1" x14ac:dyDescent="0.3">
      <c r="Q849" s="24" t="s">
        <v>192</v>
      </c>
      <c r="R849" s="25">
        <v>45357</v>
      </c>
      <c r="S849" s="41">
        <v>229.58199999999999</v>
      </c>
      <c r="T849" s="41">
        <v>1.86</v>
      </c>
      <c r="U849" s="41">
        <v>0.16</v>
      </c>
      <c r="V849" s="26">
        <v>0</v>
      </c>
      <c r="W849" s="26">
        <v>715.26300000000003</v>
      </c>
      <c r="X849" s="33">
        <v>67.701999999999998</v>
      </c>
    </row>
    <row r="850" spans="17:24" x14ac:dyDescent="0.25">
      <c r="Q850" s="14" t="s">
        <v>199</v>
      </c>
      <c r="R850" s="15">
        <v>45375</v>
      </c>
      <c r="S850" s="39">
        <v>941.05200000000002</v>
      </c>
      <c r="T850" s="39">
        <v>7.44</v>
      </c>
      <c r="U850" s="39">
        <v>0.72</v>
      </c>
      <c r="V850" s="16">
        <v>0</v>
      </c>
      <c r="W850" s="16">
        <v>623.82500000000005</v>
      </c>
      <c r="X850" s="35">
        <v>26.952000000000002</v>
      </c>
    </row>
    <row r="851" spans="17:24" x14ac:dyDescent="0.25">
      <c r="Q851" s="19" t="s">
        <v>199</v>
      </c>
      <c r="R851" s="20">
        <v>45375</v>
      </c>
      <c r="S851" s="40">
        <v>941.05200000000002</v>
      </c>
      <c r="T851" s="40">
        <v>7.44</v>
      </c>
      <c r="U851" s="40">
        <v>0.72</v>
      </c>
      <c r="V851" s="21">
        <v>500</v>
      </c>
      <c r="W851" s="21">
        <v>671.92399999999998</v>
      </c>
      <c r="X851" s="32">
        <v>70.591999999999999</v>
      </c>
    </row>
    <row r="852" spans="17:24" x14ac:dyDescent="0.25">
      <c r="Q852" s="19" t="s">
        <v>199</v>
      </c>
      <c r="R852" s="20">
        <v>45375</v>
      </c>
      <c r="S852" s="40">
        <v>941.05200000000002</v>
      </c>
      <c r="T852" s="40">
        <v>7.44</v>
      </c>
      <c r="U852" s="40">
        <v>0.72</v>
      </c>
      <c r="V852" s="21">
        <v>1000</v>
      </c>
      <c r="W852" s="21">
        <v>719.33799999999997</v>
      </c>
      <c r="X852" s="32">
        <v>77.536000000000001</v>
      </c>
    </row>
    <row r="853" spans="17:24" x14ac:dyDescent="0.25">
      <c r="Q853" s="19" t="s">
        <v>199</v>
      </c>
      <c r="R853" s="20">
        <v>45375</v>
      </c>
      <c r="S853" s="40">
        <v>941.05200000000002</v>
      </c>
      <c r="T853" s="40">
        <v>7.44</v>
      </c>
      <c r="U853" s="40">
        <v>0.72</v>
      </c>
      <c r="V853" s="21">
        <v>1500</v>
      </c>
      <c r="W853" s="21">
        <v>765.35699999999997</v>
      </c>
      <c r="X853" s="32">
        <v>82.438000000000002</v>
      </c>
    </row>
    <row r="854" spans="17:24" x14ac:dyDescent="0.25">
      <c r="Q854" s="19" t="s">
        <v>199</v>
      </c>
      <c r="R854" s="20">
        <v>45375</v>
      </c>
      <c r="S854" s="40">
        <v>941.05200000000002</v>
      </c>
      <c r="T854" s="40">
        <v>7.44</v>
      </c>
      <c r="U854" s="40">
        <v>0.72</v>
      </c>
      <c r="V854" s="21">
        <v>2000</v>
      </c>
      <c r="W854" s="21">
        <v>811.23500000000001</v>
      </c>
      <c r="X854" s="32">
        <v>86.147000000000006</v>
      </c>
    </row>
    <row r="855" spans="17:24" ht="16.5" thickBot="1" x14ac:dyDescent="0.3">
      <c r="Q855" s="19" t="s">
        <v>199</v>
      </c>
      <c r="R855" s="20">
        <v>45375</v>
      </c>
      <c r="S855" s="40">
        <v>941.05200000000002</v>
      </c>
      <c r="T855" s="40">
        <v>7.44</v>
      </c>
      <c r="U855" s="40">
        <v>0.72</v>
      </c>
      <c r="V855" s="21">
        <v>2106</v>
      </c>
      <c r="W855" s="21">
        <v>822.495</v>
      </c>
      <c r="X855" s="32">
        <v>87.995000000000005</v>
      </c>
    </row>
    <row r="856" spans="17:24" x14ac:dyDescent="0.25">
      <c r="Q856" s="14" t="s">
        <v>190</v>
      </c>
      <c r="R856" s="15">
        <v>45336</v>
      </c>
      <c r="S856" s="39">
        <v>550.06600000000003</v>
      </c>
      <c r="T856" s="39">
        <v>9.31</v>
      </c>
      <c r="U856" s="39">
        <v>0.96</v>
      </c>
      <c r="V856" s="16">
        <v>0</v>
      </c>
      <c r="W856" s="16">
        <v>613.20000000000005</v>
      </c>
      <c r="X856" s="35">
        <v>30.2</v>
      </c>
    </row>
    <row r="857" spans="17:24" x14ac:dyDescent="0.25">
      <c r="Q857" s="19" t="s">
        <v>190</v>
      </c>
      <c r="R857" s="20">
        <v>45336</v>
      </c>
      <c r="S857" s="40">
        <v>550.06600000000003</v>
      </c>
      <c r="T857" s="40">
        <v>9.31</v>
      </c>
      <c r="U857" s="40">
        <v>0.96</v>
      </c>
      <c r="V857" s="21">
        <v>2020</v>
      </c>
      <c r="W857" s="21">
        <v>754.2</v>
      </c>
      <c r="X857" s="32">
        <v>85.5</v>
      </c>
    </row>
    <row r="858" spans="17:24" x14ac:dyDescent="0.25">
      <c r="Q858" s="19" t="s">
        <v>190</v>
      </c>
      <c r="R858" s="20">
        <v>45336</v>
      </c>
      <c r="S858" s="40">
        <v>550.06600000000003</v>
      </c>
      <c r="T858" s="40">
        <v>9.31</v>
      </c>
      <c r="U858" s="40">
        <v>0.96</v>
      </c>
      <c r="V858" s="21">
        <v>2070</v>
      </c>
      <c r="W858" s="21">
        <v>757.43</v>
      </c>
      <c r="X858" s="32">
        <v>86.3</v>
      </c>
    </row>
    <row r="859" spans="17:24" x14ac:dyDescent="0.25">
      <c r="Q859" s="19" t="s">
        <v>190</v>
      </c>
      <c r="R859" s="20">
        <v>45336</v>
      </c>
      <c r="S859" s="40">
        <v>550.06600000000003</v>
      </c>
      <c r="T859" s="40">
        <v>9.31</v>
      </c>
      <c r="U859" s="40">
        <v>0.96</v>
      </c>
      <c r="V859" s="21">
        <v>2120</v>
      </c>
      <c r="W859" s="21">
        <v>759.88</v>
      </c>
      <c r="X859" s="32">
        <v>86.8</v>
      </c>
    </row>
    <row r="860" spans="17:24" x14ac:dyDescent="0.25">
      <c r="Q860" s="19" t="s">
        <v>190</v>
      </c>
      <c r="R860" s="20">
        <v>45337</v>
      </c>
      <c r="S860" s="40">
        <v>445.899</v>
      </c>
      <c r="T860" s="40">
        <v>6.48</v>
      </c>
      <c r="U860" s="40">
        <v>0.24</v>
      </c>
      <c r="V860" s="21">
        <v>0</v>
      </c>
      <c r="W860" s="21">
        <v>471.15</v>
      </c>
      <c r="X860" s="32">
        <v>26.3</v>
      </c>
    </row>
    <row r="861" spans="17:24" x14ac:dyDescent="0.25">
      <c r="Q861" s="19" t="s">
        <v>190</v>
      </c>
      <c r="R861" s="20">
        <v>45337</v>
      </c>
      <c r="S861" s="40">
        <v>445.899</v>
      </c>
      <c r="T861" s="40">
        <v>6.48</v>
      </c>
      <c r="U861" s="40">
        <v>0.24</v>
      </c>
      <c r="V861" s="21">
        <v>1000</v>
      </c>
      <c r="W861" s="21">
        <v>821.84</v>
      </c>
      <c r="X861" s="32">
        <v>86</v>
      </c>
    </row>
    <row r="862" spans="17:24" x14ac:dyDescent="0.25">
      <c r="Q862" s="19" t="s">
        <v>190</v>
      </c>
      <c r="R862" s="20">
        <v>45337</v>
      </c>
      <c r="S862" s="40">
        <v>445.899</v>
      </c>
      <c r="T862" s="40">
        <v>6.48</v>
      </c>
      <c r="U862" s="40">
        <v>0.24</v>
      </c>
      <c r="V862" s="21">
        <v>2020</v>
      </c>
      <c r="W862" s="21">
        <v>826.36</v>
      </c>
      <c r="X862" s="32">
        <v>87.3</v>
      </c>
    </row>
    <row r="863" spans="17:24" x14ac:dyDescent="0.25">
      <c r="Q863" s="19" t="s">
        <v>190</v>
      </c>
      <c r="R863" s="20">
        <v>45337</v>
      </c>
      <c r="S863" s="40">
        <v>445.899</v>
      </c>
      <c r="T863" s="40">
        <v>6.48</v>
      </c>
      <c r="U863" s="40">
        <v>0.24</v>
      </c>
      <c r="V863" s="21">
        <v>2070</v>
      </c>
      <c r="W863" s="21">
        <v>830.91</v>
      </c>
      <c r="X863" s="32">
        <v>88.1</v>
      </c>
    </row>
    <row r="864" spans="17:24" ht="16.5" thickBot="1" x14ac:dyDescent="0.3">
      <c r="Q864" s="19" t="s">
        <v>190</v>
      </c>
      <c r="R864" s="20">
        <v>45337</v>
      </c>
      <c r="S864" s="40">
        <v>445.899</v>
      </c>
      <c r="T864" s="40">
        <v>6.48</v>
      </c>
      <c r="U864" s="40">
        <v>0.24</v>
      </c>
      <c r="V864" s="21">
        <v>2120</v>
      </c>
      <c r="W864" s="21">
        <v>833.39</v>
      </c>
      <c r="X864" s="32">
        <v>88.3</v>
      </c>
    </row>
    <row r="865" spans="17:24" x14ac:dyDescent="0.25">
      <c r="Q865" s="14" t="s">
        <v>207</v>
      </c>
      <c r="R865" s="15">
        <v>45425</v>
      </c>
      <c r="S865" s="39">
        <v>523.05200000000002</v>
      </c>
      <c r="T865" s="39">
        <v>5.05</v>
      </c>
      <c r="U865" s="39">
        <v>0.55000000000000004</v>
      </c>
      <c r="V865" s="16">
        <v>0</v>
      </c>
      <c r="W865" s="16">
        <v>531.1</v>
      </c>
      <c r="X865" s="35">
        <v>32.478000000000002</v>
      </c>
    </row>
    <row r="866" spans="17:24" x14ac:dyDescent="0.25">
      <c r="Q866" s="19" t="s">
        <v>207</v>
      </c>
      <c r="R866" s="20">
        <v>45425</v>
      </c>
      <c r="S866" s="40">
        <v>523.05200000000002</v>
      </c>
      <c r="T866" s="40">
        <v>5.05</v>
      </c>
      <c r="U866" s="40">
        <v>0.55000000000000004</v>
      </c>
      <c r="V866" s="21">
        <v>500</v>
      </c>
      <c r="W866" s="21">
        <v>561.13800000000003</v>
      </c>
      <c r="X866" s="32">
        <v>67.058000000000007</v>
      </c>
    </row>
    <row r="867" spans="17:24" x14ac:dyDescent="0.25">
      <c r="Q867" s="19" t="s">
        <v>207</v>
      </c>
      <c r="R867" s="20">
        <v>45425</v>
      </c>
      <c r="S867" s="40">
        <v>523.05200000000002</v>
      </c>
      <c r="T867" s="40">
        <v>5.05</v>
      </c>
      <c r="U867" s="40">
        <v>0.55000000000000004</v>
      </c>
      <c r="V867" s="21">
        <v>1000</v>
      </c>
      <c r="W867" s="21">
        <v>591.75400000000002</v>
      </c>
      <c r="X867" s="32">
        <v>73.688000000000002</v>
      </c>
    </row>
    <row r="868" spans="17:24" x14ac:dyDescent="0.25">
      <c r="Q868" s="19" t="s">
        <v>207</v>
      </c>
      <c r="R868" s="20">
        <v>45425</v>
      </c>
      <c r="S868" s="40">
        <v>523.05200000000002</v>
      </c>
      <c r="T868" s="40">
        <v>5.05</v>
      </c>
      <c r="U868" s="40">
        <v>0.55000000000000004</v>
      </c>
      <c r="V868" s="21">
        <v>1500</v>
      </c>
      <c r="W868" s="21">
        <v>620.822</v>
      </c>
      <c r="X868" s="32">
        <v>78.179000000000002</v>
      </c>
    </row>
    <row r="869" spans="17:24" x14ac:dyDescent="0.25">
      <c r="Q869" s="19" t="s">
        <v>207</v>
      </c>
      <c r="R869" s="20">
        <v>45425</v>
      </c>
      <c r="S869" s="40">
        <v>523.05200000000002</v>
      </c>
      <c r="T869" s="40">
        <v>5.05</v>
      </c>
      <c r="U869" s="40">
        <v>0.55000000000000004</v>
      </c>
      <c r="V869" s="21">
        <v>1980</v>
      </c>
      <c r="W869" s="21">
        <v>648.19299999999998</v>
      </c>
      <c r="X869" s="32">
        <v>80.808000000000007</v>
      </c>
    </row>
    <row r="870" spans="17:24" x14ac:dyDescent="0.25">
      <c r="Q870" s="19" t="s">
        <v>207</v>
      </c>
      <c r="R870" s="20">
        <v>45425</v>
      </c>
      <c r="S870" s="40">
        <v>523.05200000000002</v>
      </c>
      <c r="T870" s="40">
        <v>5.05</v>
      </c>
      <c r="U870" s="40">
        <v>0.55000000000000004</v>
      </c>
      <c r="V870" s="21">
        <v>2030</v>
      </c>
      <c r="W870" s="21">
        <v>650.40899999999999</v>
      </c>
      <c r="X870" s="32">
        <v>81.126999999999995</v>
      </c>
    </row>
    <row r="871" spans="17:24" ht="16.5" thickBot="1" x14ac:dyDescent="0.3">
      <c r="Q871" s="24" t="s">
        <v>207</v>
      </c>
      <c r="R871" s="25">
        <v>45425</v>
      </c>
      <c r="S871" s="41">
        <v>523.05200000000002</v>
      </c>
      <c r="T871" s="41">
        <v>5.05</v>
      </c>
      <c r="U871" s="41">
        <v>0.55000000000000004</v>
      </c>
      <c r="V871" s="26">
        <v>2080</v>
      </c>
      <c r="W871" s="26">
        <v>653.29300000000001</v>
      </c>
      <c r="X871" s="33">
        <v>81.358999999999995</v>
      </c>
    </row>
    <row r="872" spans="17:24" x14ac:dyDescent="0.25">
      <c r="Q872" s="19" t="s">
        <v>212</v>
      </c>
      <c r="R872" s="20">
        <v>45345</v>
      </c>
      <c r="S872" s="40">
        <v>773.95500000000004</v>
      </c>
      <c r="T872" s="40">
        <v>5.36</v>
      </c>
      <c r="U872" s="40">
        <v>0.56000000000000005</v>
      </c>
      <c r="V872" s="21">
        <v>0</v>
      </c>
      <c r="W872" s="21">
        <v>623.91999999999996</v>
      </c>
      <c r="X872" s="32">
        <v>16.2</v>
      </c>
    </row>
    <row r="873" spans="17:24" x14ac:dyDescent="0.25">
      <c r="Q873" s="19" t="s">
        <v>212</v>
      </c>
      <c r="R873" s="20">
        <v>45345</v>
      </c>
      <c r="S873" s="40">
        <v>773.95500000000004</v>
      </c>
      <c r="T873" s="40">
        <v>5.36</v>
      </c>
      <c r="U873" s="40">
        <v>0.56000000000000005</v>
      </c>
      <c r="V873" s="21">
        <v>1000</v>
      </c>
      <c r="W873" s="21">
        <v>705.95</v>
      </c>
      <c r="X873" s="32">
        <v>73.900000000000006</v>
      </c>
    </row>
    <row r="874" spans="17:24" x14ac:dyDescent="0.25">
      <c r="Q874" s="19" t="s">
        <v>212</v>
      </c>
      <c r="R874" s="20">
        <v>45345</v>
      </c>
      <c r="S874" s="40">
        <v>773.95500000000004</v>
      </c>
      <c r="T874" s="40">
        <v>5.36</v>
      </c>
      <c r="U874" s="40">
        <v>0.56000000000000005</v>
      </c>
      <c r="V874" s="21">
        <v>2040</v>
      </c>
      <c r="W874" s="21">
        <v>784.88</v>
      </c>
      <c r="X874" s="32">
        <v>82.9</v>
      </c>
    </row>
    <row r="875" spans="17:24" x14ac:dyDescent="0.25">
      <c r="Q875" s="19" t="s">
        <v>212</v>
      </c>
      <c r="R875" s="20">
        <v>45345</v>
      </c>
      <c r="S875" s="40">
        <v>773.95500000000004</v>
      </c>
      <c r="T875" s="40">
        <v>5.36</v>
      </c>
      <c r="U875" s="40">
        <v>0.56000000000000005</v>
      </c>
      <c r="V875" s="21">
        <v>2060</v>
      </c>
      <c r="W875" s="21">
        <v>788.64</v>
      </c>
      <c r="X875" s="32">
        <v>83.5</v>
      </c>
    </row>
    <row r="876" spans="17:24" x14ac:dyDescent="0.25">
      <c r="Q876" s="19" t="s">
        <v>212</v>
      </c>
      <c r="R876" s="20">
        <v>45345</v>
      </c>
      <c r="S876" s="40">
        <v>773.95500000000004</v>
      </c>
      <c r="T876" s="40">
        <v>5.36</v>
      </c>
      <c r="U876" s="40">
        <v>0.56000000000000005</v>
      </c>
      <c r="V876" s="50">
        <v>2140</v>
      </c>
      <c r="W876" s="21">
        <v>792.43</v>
      </c>
      <c r="X876" s="32">
        <v>83.9</v>
      </c>
    </row>
    <row r="877" spans="17:24" x14ac:dyDescent="0.25">
      <c r="Q877" s="19" t="s">
        <v>212</v>
      </c>
      <c r="R877" s="20">
        <v>45345</v>
      </c>
      <c r="S877" s="40">
        <v>622.68200000000002</v>
      </c>
      <c r="T877" s="40">
        <v>4.08</v>
      </c>
      <c r="U877" s="40">
        <v>0.48</v>
      </c>
      <c r="V877" s="50">
        <v>2140</v>
      </c>
      <c r="W877" s="21">
        <v>849.89</v>
      </c>
      <c r="X877" s="32">
        <v>85</v>
      </c>
    </row>
    <row r="878" spans="17:24" x14ac:dyDescent="0.25">
      <c r="Q878" s="19" t="s">
        <v>212</v>
      </c>
      <c r="R878" s="20">
        <v>45345</v>
      </c>
      <c r="S878" s="40">
        <v>622.68200000000002</v>
      </c>
      <c r="T878" s="40">
        <v>4.08</v>
      </c>
      <c r="U878" s="40">
        <v>0.48</v>
      </c>
      <c r="V878" s="21">
        <v>2060</v>
      </c>
      <c r="W878" s="21">
        <v>845.76</v>
      </c>
      <c r="X878" s="32">
        <v>84.7</v>
      </c>
    </row>
    <row r="879" spans="17:24" x14ac:dyDescent="0.25">
      <c r="Q879" s="19" t="s">
        <v>212</v>
      </c>
      <c r="R879" s="20">
        <v>45345</v>
      </c>
      <c r="S879" s="40">
        <v>622.68200000000002</v>
      </c>
      <c r="T879" s="40">
        <v>4.08</v>
      </c>
      <c r="U879" s="40">
        <v>0.48</v>
      </c>
      <c r="V879" s="21">
        <v>2040</v>
      </c>
      <c r="W879" s="21">
        <v>842.28</v>
      </c>
      <c r="X879" s="32">
        <v>84.4</v>
      </c>
    </row>
    <row r="880" spans="17:24" x14ac:dyDescent="0.25">
      <c r="Q880" s="19" t="s">
        <v>212</v>
      </c>
      <c r="R880" s="20">
        <v>45345</v>
      </c>
      <c r="S880" s="40">
        <v>622.68200000000002</v>
      </c>
      <c r="T880" s="40">
        <v>4.08</v>
      </c>
      <c r="U880" s="40">
        <v>0.48</v>
      </c>
      <c r="V880" s="21">
        <v>1000</v>
      </c>
      <c r="W880" s="21">
        <v>769.64</v>
      </c>
      <c r="X880" s="32">
        <v>76.8</v>
      </c>
    </row>
    <row r="881" spans="17:24" x14ac:dyDescent="0.25">
      <c r="Q881" s="19" t="s">
        <v>212</v>
      </c>
      <c r="R881" s="20">
        <v>45345</v>
      </c>
      <c r="S881" s="40">
        <v>622.68200000000002</v>
      </c>
      <c r="T881" s="40">
        <v>4.08</v>
      </c>
      <c r="U881" s="40">
        <v>0.48</v>
      </c>
      <c r="V881" s="21">
        <v>0</v>
      </c>
      <c r="W881" s="21">
        <v>713.04</v>
      </c>
      <c r="X881" s="32">
        <v>51</v>
      </c>
    </row>
    <row r="882" spans="17:24" x14ac:dyDescent="0.25">
      <c r="Q882" s="19" t="s">
        <v>212</v>
      </c>
      <c r="R882" s="20">
        <v>45346</v>
      </c>
      <c r="S882" s="40">
        <v>469.81599999999997</v>
      </c>
      <c r="T882" s="40">
        <v>3.6</v>
      </c>
      <c r="U882" s="40">
        <v>0.4</v>
      </c>
      <c r="V882" s="21">
        <v>0</v>
      </c>
      <c r="W882" s="21">
        <v>745.48</v>
      </c>
      <c r="X882" s="32">
        <v>19</v>
      </c>
    </row>
    <row r="883" spans="17:24" x14ac:dyDescent="0.25">
      <c r="Q883" s="19" t="s">
        <v>212</v>
      </c>
      <c r="R883" s="20">
        <v>45346</v>
      </c>
      <c r="S883" s="40">
        <v>469.81599999999997</v>
      </c>
      <c r="T883" s="40">
        <v>3.6</v>
      </c>
      <c r="U883" s="40">
        <v>0.4</v>
      </c>
      <c r="V883" s="21">
        <v>1000</v>
      </c>
      <c r="W883" s="21">
        <v>818.84</v>
      </c>
      <c r="X883" s="32">
        <v>72.400000000000006</v>
      </c>
    </row>
    <row r="884" spans="17:24" x14ac:dyDescent="0.25">
      <c r="Q884" s="19" t="s">
        <v>212</v>
      </c>
      <c r="R884" s="20">
        <v>45346</v>
      </c>
      <c r="S884" s="40">
        <v>469.81599999999997</v>
      </c>
      <c r="T884" s="40">
        <v>3.6</v>
      </c>
      <c r="U884" s="40">
        <v>0.4</v>
      </c>
      <c r="V884" s="21">
        <v>2010</v>
      </c>
      <c r="W884" s="21">
        <v>888.83</v>
      </c>
      <c r="X884" s="32">
        <v>84.2</v>
      </c>
    </row>
    <row r="885" spans="17:24" x14ac:dyDescent="0.25">
      <c r="Q885" s="19" t="s">
        <v>212</v>
      </c>
      <c r="R885" s="20">
        <v>45346</v>
      </c>
      <c r="S885" s="40">
        <v>469.81599999999997</v>
      </c>
      <c r="T885" s="40">
        <v>3.6</v>
      </c>
      <c r="U885" s="40">
        <v>0.4</v>
      </c>
      <c r="V885" s="21">
        <v>2060</v>
      </c>
      <c r="W885" s="21">
        <v>892.38</v>
      </c>
      <c r="X885" s="32">
        <v>85.2</v>
      </c>
    </row>
    <row r="886" spans="17:24" ht="16.5" thickBot="1" x14ac:dyDescent="0.3">
      <c r="Q886" s="19" t="s">
        <v>212</v>
      </c>
      <c r="R886" s="20">
        <v>45346</v>
      </c>
      <c r="S886" s="40">
        <v>469.81599999999997</v>
      </c>
      <c r="T886" s="40">
        <v>3.6</v>
      </c>
      <c r="U886" s="40">
        <v>0.4</v>
      </c>
      <c r="V886" s="50">
        <v>2110</v>
      </c>
      <c r="W886" s="21">
        <v>897.45</v>
      </c>
      <c r="X886" s="32">
        <v>85.9</v>
      </c>
    </row>
    <row r="887" spans="17:24" x14ac:dyDescent="0.25">
      <c r="Q887" s="14" t="s">
        <v>144</v>
      </c>
      <c r="R887" s="15">
        <v>45427</v>
      </c>
      <c r="S887" s="39">
        <v>577.85199999999998</v>
      </c>
      <c r="T887" s="39">
        <v>5.56</v>
      </c>
      <c r="U887" s="39">
        <v>0.77</v>
      </c>
      <c r="V887" s="16">
        <v>0</v>
      </c>
      <c r="W887" s="16">
        <v>626.28099999999995</v>
      </c>
      <c r="X887" s="35">
        <v>31.527000000000001</v>
      </c>
    </row>
    <row r="888" spans="17:24" x14ac:dyDescent="0.25">
      <c r="Q888" s="19" t="s">
        <v>144</v>
      </c>
      <c r="R888" s="20">
        <v>45427</v>
      </c>
      <c r="S888" s="40">
        <v>577.85199999999998</v>
      </c>
      <c r="T888" s="40">
        <v>5.56</v>
      </c>
      <c r="U888" s="40">
        <v>0.77</v>
      </c>
      <c r="V888" s="21">
        <v>500</v>
      </c>
      <c r="W888" s="21">
        <v>661.57899999999995</v>
      </c>
      <c r="X888" s="32">
        <v>71.501999999999995</v>
      </c>
    </row>
    <row r="889" spans="17:24" x14ac:dyDescent="0.25">
      <c r="Q889" s="19" t="s">
        <v>144</v>
      </c>
      <c r="R889" s="20">
        <v>45427</v>
      </c>
      <c r="S889" s="40">
        <v>577.85199999999998</v>
      </c>
      <c r="T889" s="40">
        <v>5.56</v>
      </c>
      <c r="U889" s="40">
        <v>0.77</v>
      </c>
      <c r="V889" s="21">
        <v>1000</v>
      </c>
      <c r="W889" s="21">
        <v>695.08600000000001</v>
      </c>
      <c r="X889" s="32">
        <v>77.75</v>
      </c>
    </row>
    <row r="890" spans="17:24" x14ac:dyDescent="0.25">
      <c r="Q890" s="19" t="s">
        <v>144</v>
      </c>
      <c r="R890" s="20">
        <v>45427</v>
      </c>
      <c r="S890" s="40">
        <v>577.85199999999998</v>
      </c>
      <c r="T890" s="40">
        <v>5.56</v>
      </c>
      <c r="U890" s="40">
        <v>0.77</v>
      </c>
      <c r="V890" s="21">
        <v>1500</v>
      </c>
      <c r="W890" s="21">
        <v>728.52499999999998</v>
      </c>
      <c r="X890" s="32">
        <v>82.453999999999994</v>
      </c>
    </row>
    <row r="891" spans="17:24" x14ac:dyDescent="0.25">
      <c r="Q891" s="19" t="s">
        <v>144</v>
      </c>
      <c r="R891" s="20">
        <v>45427</v>
      </c>
      <c r="S891" s="40">
        <v>577.85199999999998</v>
      </c>
      <c r="T891" s="40">
        <v>5.56</v>
      </c>
      <c r="U891" s="40">
        <v>0.77</v>
      </c>
      <c r="V891" s="21">
        <v>2070</v>
      </c>
      <c r="W891" s="21">
        <v>766.298</v>
      </c>
      <c r="X891" s="32">
        <v>85.983000000000004</v>
      </c>
    </row>
    <row r="892" spans="17:24" x14ac:dyDescent="0.25">
      <c r="Q892" s="19" t="s">
        <v>144</v>
      </c>
      <c r="R892" s="20">
        <v>45427</v>
      </c>
      <c r="S892" s="40">
        <v>577.85199999999998</v>
      </c>
      <c r="T892" s="40">
        <v>5.56</v>
      </c>
      <c r="U892" s="40">
        <v>0.77</v>
      </c>
      <c r="V892" s="21">
        <v>2120</v>
      </c>
      <c r="W892" s="21">
        <v>769.78300000000002</v>
      </c>
      <c r="X892" s="32">
        <v>86.45</v>
      </c>
    </row>
    <row r="893" spans="17:24" ht="16.5" thickBot="1" x14ac:dyDescent="0.3">
      <c r="Q893" s="24" t="s">
        <v>144</v>
      </c>
      <c r="R893" s="25">
        <v>45427</v>
      </c>
      <c r="S893" s="41">
        <v>577.85199999999998</v>
      </c>
      <c r="T893" s="41">
        <v>5.56</v>
      </c>
      <c r="U893" s="41">
        <v>0.77</v>
      </c>
      <c r="V893" s="26">
        <v>2170</v>
      </c>
      <c r="W893" s="26">
        <v>773.09500000000003</v>
      </c>
      <c r="X893" s="33">
        <v>86.757000000000005</v>
      </c>
    </row>
    <row r="894" spans="17:24" x14ac:dyDescent="0.25">
      <c r="Q894" s="14" t="s">
        <v>162</v>
      </c>
      <c r="R894" s="15">
        <v>45443</v>
      </c>
      <c r="S894" s="39">
        <v>640.44799999999998</v>
      </c>
      <c r="T894" s="39">
        <v>2.63</v>
      </c>
      <c r="U894" s="39">
        <v>0.56000000000000005</v>
      </c>
      <c r="V894" s="16">
        <v>0</v>
      </c>
      <c r="W894" s="16">
        <v>603.82899999999995</v>
      </c>
      <c r="X894" s="35">
        <v>34.454999999999998</v>
      </c>
    </row>
    <row r="895" spans="17:24" x14ac:dyDescent="0.25">
      <c r="Q895" s="19" t="s">
        <v>162</v>
      </c>
      <c r="R895" s="20">
        <v>45443</v>
      </c>
      <c r="S895" s="40">
        <v>640.44799999999998</v>
      </c>
      <c r="T895" s="40">
        <v>2.63</v>
      </c>
      <c r="U895" s="40">
        <v>0.56000000000000005</v>
      </c>
      <c r="V895" s="21">
        <v>500</v>
      </c>
      <c r="W895" s="21">
        <v>639.61400000000003</v>
      </c>
      <c r="X895" s="32">
        <v>71.17</v>
      </c>
    </row>
    <row r="896" spans="17:24" x14ac:dyDescent="0.25">
      <c r="Q896" s="19" t="s">
        <v>162</v>
      </c>
      <c r="R896" s="20">
        <v>45443</v>
      </c>
      <c r="S896" s="40">
        <v>640.44799999999998</v>
      </c>
      <c r="T896" s="40">
        <v>2.63</v>
      </c>
      <c r="U896" s="40">
        <v>0.56000000000000005</v>
      </c>
      <c r="V896" s="21">
        <v>1000</v>
      </c>
      <c r="W896" s="21">
        <v>674.93799999999999</v>
      </c>
      <c r="X896" s="32">
        <v>76.838999999999999</v>
      </c>
    </row>
    <row r="897" spans="17:24" x14ac:dyDescent="0.25">
      <c r="Q897" s="19" t="s">
        <v>162</v>
      </c>
      <c r="R897" s="20">
        <v>45443</v>
      </c>
      <c r="S897" s="40">
        <v>640.44799999999998</v>
      </c>
      <c r="T897" s="40">
        <v>2.63</v>
      </c>
      <c r="U897" s="40">
        <v>0.56000000000000005</v>
      </c>
      <c r="V897" s="21">
        <v>1500</v>
      </c>
      <c r="W897" s="21">
        <v>710.30499999999995</v>
      </c>
      <c r="X897" s="32">
        <v>81.281999999999996</v>
      </c>
    </row>
    <row r="898" spans="17:24" x14ac:dyDescent="0.25">
      <c r="Q898" s="19" t="s">
        <v>162</v>
      </c>
      <c r="R898" s="20">
        <v>45443</v>
      </c>
      <c r="S898" s="40">
        <v>640.44799999999998</v>
      </c>
      <c r="T898" s="40">
        <v>2.63</v>
      </c>
      <c r="U898" s="40">
        <v>0.56000000000000005</v>
      </c>
      <c r="V898" s="21">
        <v>2000</v>
      </c>
      <c r="W898" s="21">
        <v>746.17</v>
      </c>
      <c r="X898" s="32">
        <v>84.367000000000004</v>
      </c>
    </row>
    <row r="899" spans="17:24" x14ac:dyDescent="0.25">
      <c r="Q899" s="19" t="s">
        <v>162</v>
      </c>
      <c r="R899" s="20">
        <v>45443</v>
      </c>
      <c r="S899" s="40">
        <v>640.44799999999998</v>
      </c>
      <c r="T899" s="40">
        <v>2.63</v>
      </c>
      <c r="U899" s="40">
        <v>0.56000000000000005</v>
      </c>
      <c r="V899" s="21">
        <v>2070</v>
      </c>
      <c r="W899" s="21">
        <v>753.87099999999998</v>
      </c>
      <c r="X899" s="32">
        <v>84.81</v>
      </c>
    </row>
    <row r="900" spans="17:24" ht="16.5" thickBot="1" x14ac:dyDescent="0.3">
      <c r="Q900" s="19" t="s">
        <v>162</v>
      </c>
      <c r="R900" s="20">
        <v>45443</v>
      </c>
      <c r="S900" s="40">
        <v>640.44799999999998</v>
      </c>
      <c r="T900" s="40">
        <v>2.63</v>
      </c>
      <c r="U900" s="40">
        <v>0.56000000000000005</v>
      </c>
      <c r="V900" s="21">
        <v>2120</v>
      </c>
      <c r="W900" s="21">
        <v>770.63599999999997</v>
      </c>
      <c r="X900" s="32">
        <v>85.363</v>
      </c>
    </row>
    <row r="901" spans="17:24" x14ac:dyDescent="0.25">
      <c r="Q901" s="14" t="s">
        <v>253</v>
      </c>
      <c r="R901" s="15">
        <v>44979</v>
      </c>
      <c r="S901" s="39">
        <v>341.63200000000001</v>
      </c>
      <c r="T901" s="39">
        <v>5.86</v>
      </c>
      <c r="U901" s="39">
        <v>0.52</v>
      </c>
      <c r="V901" s="16">
        <v>2150</v>
      </c>
      <c r="W901" s="16">
        <v>782.08500000000004</v>
      </c>
      <c r="X901" s="35">
        <v>85.885999999999996</v>
      </c>
    </row>
    <row r="902" spans="17:24" x14ac:dyDescent="0.25">
      <c r="Q902" s="19" t="s">
        <v>253</v>
      </c>
      <c r="R902" s="20">
        <v>44979</v>
      </c>
      <c r="S902" s="40">
        <v>341.63200000000001</v>
      </c>
      <c r="T902" s="40">
        <v>5.86</v>
      </c>
      <c r="U902" s="40">
        <v>0.52</v>
      </c>
      <c r="V902" s="21">
        <v>2100</v>
      </c>
      <c r="W902" s="21">
        <v>778.10599999999999</v>
      </c>
      <c r="X902" s="32">
        <v>85.756</v>
      </c>
    </row>
    <row r="903" spans="17:24" x14ac:dyDescent="0.25">
      <c r="Q903" s="19" t="s">
        <v>253</v>
      </c>
      <c r="R903" s="20">
        <v>44979</v>
      </c>
      <c r="S903" s="40">
        <v>341.63200000000001</v>
      </c>
      <c r="T903" s="40">
        <v>5.86</v>
      </c>
      <c r="U903" s="40">
        <v>0.52</v>
      </c>
      <c r="V903" s="21">
        <v>2050</v>
      </c>
      <c r="W903" s="21">
        <v>774.19200000000001</v>
      </c>
      <c r="X903" s="32">
        <v>85.555000000000007</v>
      </c>
    </row>
    <row r="904" spans="17:24" x14ac:dyDescent="0.25">
      <c r="Q904" s="19" t="s">
        <v>253</v>
      </c>
      <c r="R904" s="20">
        <v>44979</v>
      </c>
      <c r="S904" s="40">
        <v>341.63200000000001</v>
      </c>
      <c r="T904" s="40">
        <v>5.86</v>
      </c>
      <c r="U904" s="40">
        <v>0.52</v>
      </c>
      <c r="V904" s="21">
        <v>1000</v>
      </c>
      <c r="W904" s="21">
        <v>668.06500000000005</v>
      </c>
      <c r="X904" s="32">
        <v>78.007999999999996</v>
      </c>
    </row>
    <row r="905" spans="17:24" x14ac:dyDescent="0.25">
      <c r="Q905" s="19" t="s">
        <v>253</v>
      </c>
      <c r="R905" s="20">
        <v>44979</v>
      </c>
      <c r="S905" s="40">
        <v>341.63200000000001</v>
      </c>
      <c r="T905" s="40">
        <v>5.86</v>
      </c>
      <c r="U905" s="40">
        <v>0.52</v>
      </c>
      <c r="V905" s="21">
        <v>0</v>
      </c>
      <c r="W905" s="21">
        <v>560.02099999999996</v>
      </c>
      <c r="X905" s="32">
        <v>44.915999999999997</v>
      </c>
    </row>
    <row r="906" spans="17:24" x14ac:dyDescent="0.25">
      <c r="Q906" s="19" t="s">
        <v>253</v>
      </c>
      <c r="R906" s="20">
        <v>45345</v>
      </c>
      <c r="S906" s="40">
        <v>280.52100000000002</v>
      </c>
      <c r="T906" s="40">
        <v>4.78</v>
      </c>
      <c r="U906" s="40">
        <v>0.78</v>
      </c>
      <c r="V906" s="21">
        <v>0</v>
      </c>
      <c r="W906" s="21">
        <v>639.62300000000005</v>
      </c>
      <c r="X906" s="32">
        <v>14.202999999999999</v>
      </c>
    </row>
    <row r="907" spans="17:24" x14ac:dyDescent="0.25">
      <c r="Q907" s="19" t="s">
        <v>253</v>
      </c>
      <c r="R907" s="20">
        <v>45345</v>
      </c>
      <c r="S907" s="40">
        <v>280.52100000000002</v>
      </c>
      <c r="T907" s="40">
        <v>4.78</v>
      </c>
      <c r="U907" s="40">
        <v>0.78</v>
      </c>
      <c r="V907" s="21">
        <v>1000</v>
      </c>
      <c r="W907" s="21">
        <v>735.48199999999997</v>
      </c>
      <c r="X907" s="32">
        <v>72.759</v>
      </c>
    </row>
    <row r="908" spans="17:24" x14ac:dyDescent="0.25">
      <c r="Q908" s="19" t="s">
        <v>253</v>
      </c>
      <c r="R908" s="20">
        <v>45345</v>
      </c>
      <c r="S908" s="40">
        <v>280.52100000000002</v>
      </c>
      <c r="T908" s="40">
        <v>4.78</v>
      </c>
      <c r="U908" s="40">
        <v>0.78</v>
      </c>
      <c r="V908" s="21">
        <v>2050</v>
      </c>
      <c r="W908" s="21">
        <v>831.91399999999999</v>
      </c>
      <c r="X908" s="32">
        <v>84.35</v>
      </c>
    </row>
    <row r="909" spans="17:24" x14ac:dyDescent="0.25">
      <c r="Q909" s="19" t="s">
        <v>253</v>
      </c>
      <c r="R909" s="20">
        <v>45345</v>
      </c>
      <c r="S909" s="40">
        <v>280.52100000000002</v>
      </c>
      <c r="T909" s="40">
        <v>4.78</v>
      </c>
      <c r="U909" s="40">
        <v>0.78</v>
      </c>
      <c r="V909" s="21">
        <v>2100</v>
      </c>
      <c r="W909" s="21">
        <v>835.85799999999995</v>
      </c>
      <c r="X909" s="32">
        <v>85.86</v>
      </c>
    </row>
    <row r="910" spans="17:24" x14ac:dyDescent="0.25">
      <c r="Q910" s="19" t="s">
        <v>253</v>
      </c>
      <c r="R910" s="20">
        <v>45345</v>
      </c>
      <c r="S910" s="40">
        <v>280.52100000000002</v>
      </c>
      <c r="T910" s="40">
        <v>4.78</v>
      </c>
      <c r="U910" s="40">
        <v>0.78</v>
      </c>
      <c r="V910" s="21">
        <v>2150</v>
      </c>
      <c r="W910" s="21">
        <v>839.85400000000004</v>
      </c>
      <c r="X910" s="32">
        <v>87.200999999999993</v>
      </c>
    </row>
    <row r="911" spans="17:24" x14ac:dyDescent="0.25">
      <c r="Q911" s="19" t="s">
        <v>253</v>
      </c>
      <c r="R911" s="20">
        <v>45345</v>
      </c>
      <c r="S911" s="40">
        <v>208.72900000000001</v>
      </c>
      <c r="T911" s="40">
        <v>4.0599999999999996</v>
      </c>
      <c r="U911" s="40">
        <v>0.64</v>
      </c>
      <c r="V911" s="21">
        <v>2150</v>
      </c>
      <c r="W911" s="21">
        <v>913.80499999999995</v>
      </c>
      <c r="X911" s="32">
        <v>88.668999999999997</v>
      </c>
    </row>
    <row r="912" spans="17:24" x14ac:dyDescent="0.25">
      <c r="Q912" s="19" t="s">
        <v>253</v>
      </c>
      <c r="R912" s="20">
        <v>45345</v>
      </c>
      <c r="S912" s="40">
        <v>208.72900000000001</v>
      </c>
      <c r="T912" s="40">
        <v>4.0599999999999996</v>
      </c>
      <c r="U912" s="40">
        <v>0.64</v>
      </c>
      <c r="V912" s="21">
        <v>2100</v>
      </c>
      <c r="W912" s="21">
        <v>910.21299999999997</v>
      </c>
      <c r="X912" s="32">
        <v>88.414000000000001</v>
      </c>
    </row>
    <row r="913" spans="17:24" x14ac:dyDescent="0.25">
      <c r="Q913" s="19" t="s">
        <v>253</v>
      </c>
      <c r="R913" s="20">
        <v>45345</v>
      </c>
      <c r="S913" s="40">
        <v>208.72900000000001</v>
      </c>
      <c r="T913" s="40">
        <v>4.0599999999999996</v>
      </c>
      <c r="U913" s="40">
        <v>0.64</v>
      </c>
      <c r="V913" s="21">
        <v>2050</v>
      </c>
      <c r="W913" s="21">
        <v>906.65300000000002</v>
      </c>
      <c r="X913" s="32">
        <v>88.087000000000003</v>
      </c>
    </row>
    <row r="914" spans="17:24" x14ac:dyDescent="0.25">
      <c r="Q914" s="19" t="s">
        <v>253</v>
      </c>
      <c r="R914" s="20">
        <v>45345</v>
      </c>
      <c r="S914" s="40">
        <v>208.72900000000001</v>
      </c>
      <c r="T914" s="40">
        <v>4.0599999999999996</v>
      </c>
      <c r="U914" s="40">
        <v>0.64</v>
      </c>
      <c r="V914" s="21">
        <v>1000</v>
      </c>
      <c r="W914" s="21">
        <v>820.85599999999999</v>
      </c>
      <c r="X914" s="32">
        <v>79.05</v>
      </c>
    </row>
    <row r="915" spans="17:24" ht="16.5" thickBot="1" x14ac:dyDescent="0.3">
      <c r="Q915" s="24" t="s">
        <v>253</v>
      </c>
      <c r="R915" s="25">
        <v>45345</v>
      </c>
      <c r="S915" s="41">
        <v>208.72900000000001</v>
      </c>
      <c r="T915" s="41">
        <v>4.0599999999999996</v>
      </c>
      <c r="U915" s="41">
        <v>0.64</v>
      </c>
      <c r="V915" s="26">
        <v>0</v>
      </c>
      <c r="W915" s="26">
        <v>738.56</v>
      </c>
      <c r="X915" s="33">
        <v>40.9</v>
      </c>
    </row>
    <row r="916" spans="17:24" x14ac:dyDescent="0.25">
      <c r="Q916" s="19" t="s">
        <v>219</v>
      </c>
      <c r="R916" s="20">
        <v>45338</v>
      </c>
      <c r="S916" s="44">
        <v>452.81099999999998</v>
      </c>
      <c r="T916" s="21">
        <v>3.73</v>
      </c>
      <c r="U916" s="21">
        <v>0.96</v>
      </c>
      <c r="V916" s="21">
        <v>2125</v>
      </c>
      <c r="W916" s="21">
        <v>889.52599999999995</v>
      </c>
      <c r="X916" s="32">
        <v>89.596999999999994</v>
      </c>
    </row>
    <row r="917" spans="17:24" x14ac:dyDescent="0.25">
      <c r="Q917" s="19" t="s">
        <v>219</v>
      </c>
      <c r="R917" s="20">
        <v>45338</v>
      </c>
      <c r="S917" s="44">
        <v>452.81099999999998</v>
      </c>
      <c r="T917" s="21">
        <v>3.73</v>
      </c>
      <c r="U917" s="21">
        <v>0.96</v>
      </c>
      <c r="V917" s="21">
        <v>2075</v>
      </c>
      <c r="W917" s="21">
        <v>886.14099999999996</v>
      </c>
      <c r="X917" s="32">
        <v>89.433000000000007</v>
      </c>
    </row>
    <row r="918" spans="17:24" x14ac:dyDescent="0.25">
      <c r="Q918" s="19" t="s">
        <v>219</v>
      </c>
      <c r="R918" s="20">
        <v>45338</v>
      </c>
      <c r="S918" s="44">
        <v>452.81099999999998</v>
      </c>
      <c r="T918" s="21">
        <v>3.73</v>
      </c>
      <c r="U918" s="21">
        <v>0.96</v>
      </c>
      <c r="V918" s="21">
        <v>2025</v>
      </c>
      <c r="W918" s="21">
        <v>882.41300000000001</v>
      </c>
      <c r="X918" s="32">
        <v>89.200999999999993</v>
      </c>
    </row>
    <row r="919" spans="17:24" x14ac:dyDescent="0.25">
      <c r="Q919" s="19" t="s">
        <v>219</v>
      </c>
      <c r="R919" s="20">
        <v>45338</v>
      </c>
      <c r="S919" s="44">
        <v>452.81099999999998</v>
      </c>
      <c r="T919" s="21">
        <v>3.73</v>
      </c>
      <c r="U919" s="21">
        <v>0.96</v>
      </c>
      <c r="V919" s="21">
        <v>1000</v>
      </c>
      <c r="W919" s="21">
        <v>738.26800000000003</v>
      </c>
      <c r="X919" s="32">
        <v>81.207999999999998</v>
      </c>
    </row>
    <row r="920" spans="17:24" x14ac:dyDescent="0.25">
      <c r="Q920" s="19" t="s">
        <v>219</v>
      </c>
      <c r="R920" s="20">
        <v>45338</v>
      </c>
      <c r="S920" s="44">
        <v>452.81099999999998</v>
      </c>
      <c r="T920" s="21">
        <v>3.73</v>
      </c>
      <c r="U920" s="21">
        <v>0.96</v>
      </c>
      <c r="V920" s="21">
        <v>0</v>
      </c>
      <c r="W920" s="21">
        <v>573.13199999999995</v>
      </c>
      <c r="X920" s="32">
        <v>65.135999999999996</v>
      </c>
    </row>
    <row r="921" spans="17:24" x14ac:dyDescent="0.25">
      <c r="Q921" s="19" t="s">
        <v>219</v>
      </c>
      <c r="R921" s="20">
        <v>45339</v>
      </c>
      <c r="S921" s="44">
        <v>353.76400000000001</v>
      </c>
      <c r="T921" s="21">
        <v>2.79</v>
      </c>
      <c r="U921" s="21">
        <v>0.24</v>
      </c>
      <c r="V921" s="21">
        <v>0</v>
      </c>
      <c r="W921" s="21">
        <v>680.42499999999995</v>
      </c>
      <c r="X921" s="32">
        <v>16.773</v>
      </c>
    </row>
    <row r="922" spans="17:24" x14ac:dyDescent="0.25">
      <c r="Q922" s="19" t="s">
        <v>219</v>
      </c>
      <c r="R922" s="20">
        <v>45339</v>
      </c>
      <c r="S922" s="44">
        <v>353.76400000000001</v>
      </c>
      <c r="T922" s="21">
        <v>2.79</v>
      </c>
      <c r="U922" s="21">
        <v>0.24</v>
      </c>
      <c r="V922" s="21">
        <v>1000</v>
      </c>
      <c r="W922" s="21">
        <v>801.91800000000001</v>
      </c>
      <c r="X922" s="32">
        <v>75.893000000000001</v>
      </c>
    </row>
    <row r="923" spans="17:24" x14ac:dyDescent="0.25">
      <c r="Q923" s="19" t="s">
        <v>219</v>
      </c>
      <c r="R923" s="20">
        <v>45339</v>
      </c>
      <c r="S923" s="44">
        <v>353.76400000000001</v>
      </c>
      <c r="T923" s="21">
        <v>2.79</v>
      </c>
      <c r="U923" s="21">
        <v>0.24</v>
      </c>
      <c r="V923" s="21">
        <v>2025</v>
      </c>
      <c r="W923" s="21">
        <v>914.80899999999997</v>
      </c>
      <c r="X923" s="32">
        <v>87.757000000000005</v>
      </c>
    </row>
    <row r="924" spans="17:24" x14ac:dyDescent="0.25">
      <c r="Q924" s="19" t="s">
        <v>219</v>
      </c>
      <c r="R924" s="20">
        <v>45339</v>
      </c>
      <c r="S924" s="44">
        <v>353.76400000000001</v>
      </c>
      <c r="T924" s="21">
        <v>2.79</v>
      </c>
      <c r="U924" s="21">
        <v>0.24</v>
      </c>
      <c r="V924" s="21">
        <v>2075</v>
      </c>
      <c r="W924" s="21">
        <v>918.60799999999995</v>
      </c>
      <c r="X924" s="32">
        <v>89.307000000000002</v>
      </c>
    </row>
    <row r="925" spans="17:24" ht="16.5" thickBot="1" x14ac:dyDescent="0.3">
      <c r="Q925" s="24" t="s">
        <v>219</v>
      </c>
      <c r="R925" s="25">
        <v>45339</v>
      </c>
      <c r="S925" s="45">
        <v>353.76400000000001</v>
      </c>
      <c r="T925" s="26">
        <v>2.79</v>
      </c>
      <c r="U925" s="26">
        <v>0.24</v>
      </c>
      <c r="V925" s="26">
        <v>2125</v>
      </c>
      <c r="W925" s="26">
        <v>922.375</v>
      </c>
      <c r="X925" s="33">
        <v>90.191999999999993</v>
      </c>
    </row>
    <row r="926" spans="17:24" x14ac:dyDescent="0.25">
      <c r="Q926" s="14" t="s">
        <v>210</v>
      </c>
      <c r="R926" s="15">
        <v>45462</v>
      </c>
      <c r="S926" s="43">
        <v>429.26909279999995</v>
      </c>
      <c r="T926" s="16">
        <v>1.8239999999999994</v>
      </c>
      <c r="U926" s="16">
        <v>0.71039999999999981</v>
      </c>
      <c r="V926" s="16">
        <v>0</v>
      </c>
      <c r="W926" s="16">
        <v>525.60299999999995</v>
      </c>
      <c r="X926" s="35">
        <v>36.173999999999999</v>
      </c>
    </row>
    <row r="927" spans="17:24" x14ac:dyDescent="0.25">
      <c r="Q927" s="19" t="s">
        <v>210</v>
      </c>
      <c r="R927" s="20">
        <v>45462</v>
      </c>
      <c r="S927" s="44">
        <v>429.26909279999995</v>
      </c>
      <c r="T927" s="21">
        <v>1.8239999999999994</v>
      </c>
      <c r="U927" s="21">
        <v>0.71039999999999981</v>
      </c>
      <c r="V927" s="21">
        <v>500</v>
      </c>
      <c r="W927" s="21">
        <v>612.99099999999999</v>
      </c>
      <c r="X927" s="32">
        <v>67.652000000000001</v>
      </c>
    </row>
    <row r="928" spans="17:24" x14ac:dyDescent="0.25">
      <c r="Q928" s="19" t="s">
        <v>210</v>
      </c>
      <c r="R928" s="20">
        <v>45462</v>
      </c>
      <c r="S928" s="44">
        <v>429.26909279999995</v>
      </c>
      <c r="T928" s="21">
        <v>1.8239999999999994</v>
      </c>
      <c r="U928" s="21">
        <v>0.71039999999999981</v>
      </c>
      <c r="V928" s="21">
        <v>1000</v>
      </c>
      <c r="W928" s="21">
        <v>689.02599999999995</v>
      </c>
      <c r="X928" s="32">
        <v>76.769000000000005</v>
      </c>
    </row>
    <row r="929" spans="17:24" x14ac:dyDescent="0.25">
      <c r="Q929" s="19" t="s">
        <v>210</v>
      </c>
      <c r="R929" s="20">
        <v>45462</v>
      </c>
      <c r="S929" s="44">
        <v>429.26909279999995</v>
      </c>
      <c r="T929" s="21">
        <v>1.8239999999999994</v>
      </c>
      <c r="U929" s="21">
        <v>0.71039999999999981</v>
      </c>
      <c r="V929" s="21">
        <v>1500</v>
      </c>
      <c r="W929" s="21">
        <v>758.62599999999998</v>
      </c>
      <c r="X929" s="32">
        <v>83.186999999999998</v>
      </c>
    </row>
    <row r="930" spans="17:24" x14ac:dyDescent="0.25">
      <c r="Q930" s="19" t="s">
        <v>210</v>
      </c>
      <c r="R930" s="20">
        <v>45462</v>
      </c>
      <c r="S930" s="44">
        <v>429.26909279999995</v>
      </c>
      <c r="T930" s="21">
        <v>1.8239999999999994</v>
      </c>
      <c r="U930" s="21">
        <v>0.71039999999999981</v>
      </c>
      <c r="V930" s="21">
        <v>1895</v>
      </c>
      <c r="W930" s="21">
        <v>808.72500000000002</v>
      </c>
      <c r="X930" s="32">
        <v>86.718000000000004</v>
      </c>
    </row>
    <row r="931" spans="17:24" ht="16.5" thickBot="1" x14ac:dyDescent="0.3">
      <c r="Q931" s="24" t="s">
        <v>210</v>
      </c>
      <c r="R931" s="25">
        <v>45462</v>
      </c>
      <c r="S931" s="45">
        <v>429.26909279999995</v>
      </c>
      <c r="T931" s="26">
        <v>1.8239999999999994</v>
      </c>
      <c r="U931" s="26">
        <v>0.71039999999999981</v>
      </c>
      <c r="V931" s="26">
        <v>1945</v>
      </c>
      <c r="W931" s="26">
        <v>815.82600000000002</v>
      </c>
      <c r="X931" s="33">
        <v>87.241</v>
      </c>
    </row>
    <row r="932" spans="17:24" x14ac:dyDescent="0.25">
      <c r="Q932" s="14" t="s">
        <v>249</v>
      </c>
      <c r="R932" s="15">
        <v>45367</v>
      </c>
      <c r="S932" s="43">
        <v>344.79199999999997</v>
      </c>
      <c r="T932" s="16">
        <v>4.78</v>
      </c>
      <c r="U932" s="16">
        <v>0.48</v>
      </c>
      <c r="V932" s="16">
        <v>2170</v>
      </c>
      <c r="W932" s="16">
        <v>705.14800000000002</v>
      </c>
      <c r="X932" s="35">
        <v>87.424999999999997</v>
      </c>
    </row>
    <row r="933" spans="17:24" x14ac:dyDescent="0.25">
      <c r="Q933" s="19" t="s">
        <v>249</v>
      </c>
      <c r="R933" s="20">
        <v>45367</v>
      </c>
      <c r="S933" s="44">
        <v>344.79199999999997</v>
      </c>
      <c r="T933" s="21">
        <v>4.78</v>
      </c>
      <c r="U933" s="21">
        <v>0.48</v>
      </c>
      <c r="V933" s="21">
        <v>2120</v>
      </c>
      <c r="W933" s="21">
        <v>703.33799999999997</v>
      </c>
      <c r="X933" s="32">
        <v>87.364000000000004</v>
      </c>
    </row>
    <row r="934" spans="17:24" x14ac:dyDescent="0.25">
      <c r="Q934" s="19" t="s">
        <v>249</v>
      </c>
      <c r="R934" s="20">
        <v>45367</v>
      </c>
      <c r="S934" s="44">
        <v>344.79199999999997</v>
      </c>
      <c r="T934" s="21">
        <v>4.78</v>
      </c>
      <c r="U934" s="21">
        <v>0.48</v>
      </c>
      <c r="V934" s="21">
        <v>2070</v>
      </c>
      <c r="W934" s="21">
        <v>701.01700000000005</v>
      </c>
      <c r="X934" s="32">
        <v>87.230999999999995</v>
      </c>
    </row>
    <row r="935" spans="17:24" x14ac:dyDescent="0.25">
      <c r="Q935" s="19" t="s">
        <v>249</v>
      </c>
      <c r="R935" s="20">
        <v>45367</v>
      </c>
      <c r="S935" s="44">
        <v>344.79199999999997</v>
      </c>
      <c r="T935" s="21">
        <v>4.78</v>
      </c>
      <c r="U935" s="21">
        <v>0.48</v>
      </c>
      <c r="V935" s="21">
        <v>1000</v>
      </c>
      <c r="W935" s="21">
        <v>641.37900000000002</v>
      </c>
      <c r="X935" s="32">
        <v>83.778000000000006</v>
      </c>
    </row>
    <row r="936" spans="17:24" x14ac:dyDescent="0.25">
      <c r="Q936" s="19" t="s">
        <v>249</v>
      </c>
      <c r="R936" s="20">
        <v>45367</v>
      </c>
      <c r="S936" s="44">
        <v>344.79199999999997</v>
      </c>
      <c r="T936" s="21">
        <v>4.78</v>
      </c>
      <c r="U936" s="21">
        <v>0.48</v>
      </c>
      <c r="V936" s="21">
        <v>0</v>
      </c>
      <c r="W936" s="21">
        <v>588.41399999999999</v>
      </c>
      <c r="X936" s="32">
        <v>67.850999999999999</v>
      </c>
    </row>
    <row r="937" spans="17:24" x14ac:dyDescent="0.25">
      <c r="Q937" s="19" t="s">
        <v>249</v>
      </c>
      <c r="R937" s="20">
        <v>45368</v>
      </c>
      <c r="S937" s="44">
        <v>262.60899999999998</v>
      </c>
      <c r="T937" s="21">
        <v>4.46</v>
      </c>
      <c r="U937" s="21">
        <v>3.8399999999999997E-2</v>
      </c>
      <c r="V937" s="21">
        <v>0</v>
      </c>
      <c r="W937" s="21">
        <v>653.50099999999998</v>
      </c>
      <c r="X937" s="32">
        <v>17.59</v>
      </c>
    </row>
    <row r="938" spans="17:24" x14ac:dyDescent="0.25">
      <c r="Q938" s="19" t="s">
        <v>249</v>
      </c>
      <c r="R938" s="20">
        <v>45368</v>
      </c>
      <c r="S938" s="44">
        <v>262.60899999999998</v>
      </c>
      <c r="T938" s="21">
        <v>4.46</v>
      </c>
      <c r="U938" s="21">
        <v>3.8399999999999997E-2</v>
      </c>
      <c r="V938" s="21">
        <v>1000</v>
      </c>
      <c r="W938" s="21">
        <v>707.78899999999999</v>
      </c>
      <c r="X938" s="32">
        <v>57.247</v>
      </c>
    </row>
    <row r="939" spans="17:24" x14ac:dyDescent="0.25">
      <c r="Q939" s="19" t="s">
        <v>249</v>
      </c>
      <c r="R939" s="20">
        <v>45368</v>
      </c>
      <c r="S939" s="44">
        <v>262.60899999999998</v>
      </c>
      <c r="T939" s="21">
        <v>4.46</v>
      </c>
      <c r="U939" s="21">
        <v>3.8399999999999997E-2</v>
      </c>
      <c r="V939" s="21">
        <v>2070</v>
      </c>
      <c r="W939" s="21">
        <v>771.47400000000005</v>
      </c>
      <c r="X939" s="32">
        <v>78.141999999999996</v>
      </c>
    </row>
    <row r="940" spans="17:24" x14ac:dyDescent="0.25">
      <c r="Q940" s="19" t="s">
        <v>249</v>
      </c>
      <c r="R940" s="20">
        <v>45368</v>
      </c>
      <c r="S940" s="44">
        <v>262.60899999999998</v>
      </c>
      <c r="T940" s="21">
        <v>4.46</v>
      </c>
      <c r="U940" s="21">
        <v>3.8399999999999997E-2</v>
      </c>
      <c r="V940" s="21">
        <v>2120</v>
      </c>
      <c r="W940" s="21">
        <v>775.846</v>
      </c>
      <c r="X940" s="32">
        <v>83.393000000000001</v>
      </c>
    </row>
    <row r="941" spans="17:24" x14ac:dyDescent="0.25">
      <c r="Q941" s="19" t="s">
        <v>249</v>
      </c>
      <c r="R941" s="20">
        <v>45368</v>
      </c>
      <c r="S941" s="44">
        <v>262.60899999999998</v>
      </c>
      <c r="T941" s="21">
        <v>4.46</v>
      </c>
      <c r="U941" s="21">
        <v>3.8399999999999997E-2</v>
      </c>
      <c r="V941" s="21">
        <v>2170</v>
      </c>
      <c r="W941" s="21">
        <v>781.48900000000003</v>
      </c>
      <c r="X941" s="32">
        <v>88.399000000000001</v>
      </c>
    </row>
    <row r="942" spans="17:24" x14ac:dyDescent="0.25">
      <c r="Q942" s="19" t="s">
        <v>249</v>
      </c>
      <c r="R942" s="20">
        <v>45368</v>
      </c>
      <c r="S942" s="44">
        <v>188.86799999999999</v>
      </c>
      <c r="T942" s="21">
        <v>2.23</v>
      </c>
      <c r="U942" s="21">
        <v>0</v>
      </c>
      <c r="V942" s="21">
        <v>2170</v>
      </c>
      <c r="W942" s="21">
        <v>832.92</v>
      </c>
      <c r="X942" s="32">
        <v>89.611000000000004</v>
      </c>
    </row>
    <row r="943" spans="17:24" x14ac:dyDescent="0.25">
      <c r="Q943" s="19" t="s">
        <v>249</v>
      </c>
      <c r="R943" s="20">
        <v>45368</v>
      </c>
      <c r="S943" s="44">
        <v>188.86799999999999</v>
      </c>
      <c r="T943" s="21">
        <v>2.23</v>
      </c>
      <c r="U943" s="21">
        <v>0</v>
      </c>
      <c r="V943" s="21">
        <v>2120</v>
      </c>
      <c r="W943" s="21">
        <v>829.93100000000004</v>
      </c>
      <c r="X943" s="32">
        <v>89.582999999999998</v>
      </c>
    </row>
    <row r="944" spans="17:24" x14ac:dyDescent="0.25">
      <c r="Q944" s="19" t="s">
        <v>249</v>
      </c>
      <c r="R944" s="20">
        <v>45368</v>
      </c>
      <c r="S944" s="44">
        <v>188.86799999999999</v>
      </c>
      <c r="T944" s="21">
        <v>2.23</v>
      </c>
      <c r="U944" s="21">
        <v>0</v>
      </c>
      <c r="V944" s="21">
        <v>2070</v>
      </c>
      <c r="W944" s="21">
        <v>827.13300000000004</v>
      </c>
      <c r="X944" s="32">
        <v>89.457999999999998</v>
      </c>
    </row>
    <row r="945" spans="17:24" x14ac:dyDescent="0.25">
      <c r="Q945" s="19" t="s">
        <v>249</v>
      </c>
      <c r="R945" s="20">
        <v>45368</v>
      </c>
      <c r="S945" s="44">
        <v>188.86799999999999</v>
      </c>
      <c r="T945" s="21">
        <v>2.23</v>
      </c>
      <c r="U945" s="21">
        <v>0</v>
      </c>
      <c r="V945" s="21">
        <v>1000</v>
      </c>
      <c r="W945" s="21">
        <v>765.48699999999997</v>
      </c>
      <c r="X945" s="32">
        <v>86.384</v>
      </c>
    </row>
    <row r="946" spans="17:24" ht="16.5" thickBot="1" x14ac:dyDescent="0.3">
      <c r="Q946" s="24" t="s">
        <v>249</v>
      </c>
      <c r="R946" s="25">
        <v>45368</v>
      </c>
      <c r="S946" s="45">
        <v>188.86799999999999</v>
      </c>
      <c r="T946" s="26">
        <v>2.23</v>
      </c>
      <c r="U946" s="26">
        <v>0</v>
      </c>
      <c r="V946" s="26">
        <v>0</v>
      </c>
      <c r="W946" s="26">
        <v>708.47699999999998</v>
      </c>
      <c r="X946" s="33">
        <v>74.944000000000003</v>
      </c>
    </row>
    <row r="947" spans="17:24" x14ac:dyDescent="0.25">
      <c r="Q947" s="14" t="s">
        <v>163</v>
      </c>
      <c r="R947" s="15">
        <v>45438</v>
      </c>
      <c r="S947" s="43">
        <v>1043.7829999999999</v>
      </c>
      <c r="T947" s="16">
        <v>7.7</v>
      </c>
      <c r="U947" s="16">
        <v>0.77</v>
      </c>
      <c r="V947" s="16">
        <v>2100</v>
      </c>
      <c r="W947" s="16">
        <v>890.01800000000003</v>
      </c>
      <c r="X947" s="35">
        <v>89.658000000000001</v>
      </c>
    </row>
    <row r="948" spans="17:24" x14ac:dyDescent="0.25">
      <c r="Q948" s="19" t="s">
        <v>163</v>
      </c>
      <c r="R948" s="20">
        <v>45438</v>
      </c>
      <c r="S948" s="44">
        <v>1043.7829999999999</v>
      </c>
      <c r="T948" s="21">
        <v>7.7</v>
      </c>
      <c r="U948" s="21">
        <v>0.77</v>
      </c>
      <c r="V948" s="21">
        <v>2050</v>
      </c>
      <c r="W948" s="21">
        <v>888.14700000000005</v>
      </c>
      <c r="X948" s="32">
        <v>89.379000000000005</v>
      </c>
    </row>
    <row r="949" spans="17:24" x14ac:dyDescent="0.25">
      <c r="Q949" s="19" t="s">
        <v>163</v>
      </c>
      <c r="R949" s="20">
        <v>45438</v>
      </c>
      <c r="S949" s="44">
        <v>1043.7829999999999</v>
      </c>
      <c r="T949" s="21">
        <v>7.7</v>
      </c>
      <c r="U949" s="21">
        <v>0.77</v>
      </c>
      <c r="V949" s="21">
        <v>2000</v>
      </c>
      <c r="W949" s="21">
        <v>882.64599999999996</v>
      </c>
      <c r="X949" s="32">
        <v>89.070999999999998</v>
      </c>
    </row>
    <row r="950" spans="17:24" x14ac:dyDescent="0.25">
      <c r="Q950" s="19" t="s">
        <v>163</v>
      </c>
      <c r="R950" s="20">
        <v>45438</v>
      </c>
      <c r="S950" s="44">
        <v>1043.7829999999999</v>
      </c>
      <c r="T950" s="21">
        <v>7.7</v>
      </c>
      <c r="U950" s="21">
        <v>0.77</v>
      </c>
      <c r="V950" s="21">
        <v>1500</v>
      </c>
      <c r="W950" s="21">
        <v>831.60599999999999</v>
      </c>
      <c r="X950" s="32">
        <v>85.725999999999999</v>
      </c>
    </row>
    <row r="951" spans="17:24" x14ac:dyDescent="0.25">
      <c r="Q951" s="19" t="s">
        <v>163</v>
      </c>
      <c r="R951" s="20">
        <v>45438</v>
      </c>
      <c r="S951" s="44">
        <v>1043.7829999999999</v>
      </c>
      <c r="T951" s="21">
        <v>7.7</v>
      </c>
      <c r="U951" s="21">
        <v>0.77</v>
      </c>
      <c r="V951" s="21">
        <v>1000</v>
      </c>
      <c r="W951" s="21">
        <v>780.54899999999998</v>
      </c>
      <c r="X951" s="32">
        <v>81.738</v>
      </c>
    </row>
    <row r="952" spans="17:24" x14ac:dyDescent="0.25">
      <c r="Q952" s="19" t="s">
        <v>163</v>
      </c>
      <c r="R952" s="20">
        <v>45438</v>
      </c>
      <c r="S952" s="44">
        <v>1043.7829999999999</v>
      </c>
      <c r="T952" s="21">
        <v>7.7</v>
      </c>
      <c r="U952" s="21">
        <v>0.77</v>
      </c>
      <c r="V952" s="21">
        <v>500</v>
      </c>
      <c r="W952" s="21">
        <v>730.827</v>
      </c>
      <c r="X952" s="32">
        <v>77.236000000000004</v>
      </c>
    </row>
    <row r="953" spans="17:24" ht="16.5" thickBot="1" x14ac:dyDescent="0.3">
      <c r="Q953" s="24" t="s">
        <v>163</v>
      </c>
      <c r="R953" s="25">
        <v>45438</v>
      </c>
      <c r="S953" s="45">
        <v>1043.7829999999999</v>
      </c>
      <c r="T953" s="26">
        <v>7.7</v>
      </c>
      <c r="U953" s="26">
        <v>0.77</v>
      </c>
      <c r="V953" s="26">
        <v>0</v>
      </c>
      <c r="W953" s="26">
        <v>677.61900000000003</v>
      </c>
      <c r="X953" s="33">
        <v>48.62</v>
      </c>
    </row>
    <row r="954" spans="17:24" x14ac:dyDescent="0.25">
      <c r="Q954" s="14" t="s">
        <v>243</v>
      </c>
      <c r="R954" s="15">
        <v>45346</v>
      </c>
      <c r="S954" s="43">
        <v>410.30700000000002</v>
      </c>
      <c r="T954" s="16">
        <v>1.48</v>
      </c>
      <c r="U954" s="16">
        <v>0.2</v>
      </c>
      <c r="V954" s="16">
        <v>2120</v>
      </c>
      <c r="W954" s="16">
        <v>883.20899999999995</v>
      </c>
      <c r="X954" s="35">
        <v>85.686000000000007</v>
      </c>
    </row>
    <row r="955" spans="17:24" x14ac:dyDescent="0.25">
      <c r="Q955" s="19" t="s">
        <v>243</v>
      </c>
      <c r="R955" s="20">
        <v>45346</v>
      </c>
      <c r="S955" s="44">
        <v>410.30700000000002</v>
      </c>
      <c r="T955" s="21">
        <v>1.48</v>
      </c>
      <c r="U955" s="21">
        <v>0.2</v>
      </c>
      <c r="V955" s="21">
        <v>2070</v>
      </c>
      <c r="W955" s="21">
        <v>879.35500000000002</v>
      </c>
      <c r="X955" s="32">
        <v>85.515000000000001</v>
      </c>
    </row>
    <row r="956" spans="17:24" x14ac:dyDescent="0.25">
      <c r="Q956" s="19" t="s">
        <v>243</v>
      </c>
      <c r="R956" s="20">
        <v>45346</v>
      </c>
      <c r="S956" s="44">
        <v>410.30700000000002</v>
      </c>
      <c r="T956" s="21">
        <v>1.48</v>
      </c>
      <c r="U956" s="21">
        <v>0.2</v>
      </c>
      <c r="V956" s="21">
        <v>2020</v>
      </c>
      <c r="W956" s="21">
        <v>875.61199999999997</v>
      </c>
      <c r="X956" s="32">
        <v>85.28</v>
      </c>
    </row>
    <row r="957" spans="17:24" x14ac:dyDescent="0.25">
      <c r="Q957" s="19" t="s">
        <v>243</v>
      </c>
      <c r="R957" s="20">
        <v>45346</v>
      </c>
      <c r="S957" s="44">
        <v>410.30700000000002</v>
      </c>
      <c r="T957" s="21">
        <v>1.48</v>
      </c>
      <c r="U957" s="21">
        <v>0.2</v>
      </c>
      <c r="V957" s="21">
        <v>1000</v>
      </c>
      <c r="W957" s="21">
        <v>732.26700000000005</v>
      </c>
      <c r="X957" s="32">
        <v>77.316999999999993</v>
      </c>
    </row>
    <row r="958" spans="17:24" x14ac:dyDescent="0.25">
      <c r="Q958" s="19" t="s">
        <v>243</v>
      </c>
      <c r="R958" s="20">
        <v>45346</v>
      </c>
      <c r="S958" s="44">
        <v>410.30700000000002</v>
      </c>
      <c r="T958" s="21">
        <v>1.48</v>
      </c>
      <c r="U958" s="21">
        <v>0.2</v>
      </c>
      <c r="V958" s="21">
        <v>0</v>
      </c>
      <c r="W958" s="21">
        <v>575.42999999999995</v>
      </c>
      <c r="X958" s="32">
        <v>45.728999999999999</v>
      </c>
    </row>
    <row r="959" spans="17:24" x14ac:dyDescent="0.25">
      <c r="Q959" s="19" t="s">
        <v>243</v>
      </c>
      <c r="R959" s="20">
        <v>45347</v>
      </c>
      <c r="S959" s="44">
        <v>320.64299999999997</v>
      </c>
      <c r="T959" s="21">
        <v>1.1160000000000001</v>
      </c>
      <c r="U959" s="21">
        <v>0.52</v>
      </c>
      <c r="V959" s="21">
        <v>0</v>
      </c>
      <c r="W959" s="21">
        <v>665.02599999999995</v>
      </c>
      <c r="X959" s="32">
        <v>17.228000000000002</v>
      </c>
    </row>
    <row r="960" spans="17:24" x14ac:dyDescent="0.25">
      <c r="Q960" s="19" t="s">
        <v>243</v>
      </c>
      <c r="R960" s="20">
        <v>45347</v>
      </c>
      <c r="S960" s="44">
        <v>320.64299999999997</v>
      </c>
      <c r="T960" s="21">
        <v>1.1160000000000001</v>
      </c>
      <c r="U960" s="21">
        <v>0.52</v>
      </c>
      <c r="V960" s="21">
        <v>1000</v>
      </c>
      <c r="W960" s="21">
        <v>796.37199999999996</v>
      </c>
      <c r="X960" s="32">
        <v>73.748000000000005</v>
      </c>
    </row>
    <row r="961" spans="17:24" x14ac:dyDescent="0.25">
      <c r="Q961" s="19" t="s">
        <v>243</v>
      </c>
      <c r="R961" s="20">
        <v>45347</v>
      </c>
      <c r="S961" s="44">
        <v>320.64299999999997</v>
      </c>
      <c r="T961" s="21">
        <v>1.1160000000000001</v>
      </c>
      <c r="U961" s="21">
        <v>0.52</v>
      </c>
      <c r="V961" s="21">
        <v>2020</v>
      </c>
      <c r="W961" s="21">
        <v>916.21</v>
      </c>
      <c r="X961" s="32">
        <v>84.781999999999996</v>
      </c>
    </row>
    <row r="962" spans="17:24" x14ac:dyDescent="0.25">
      <c r="Q962" s="19" t="s">
        <v>243</v>
      </c>
      <c r="R962" s="20">
        <v>45347</v>
      </c>
      <c r="S962" s="44">
        <v>320.64299999999997</v>
      </c>
      <c r="T962" s="21">
        <v>1.1160000000000001</v>
      </c>
      <c r="U962" s="21">
        <v>0.52</v>
      </c>
      <c r="V962" s="21">
        <v>2070</v>
      </c>
      <c r="W962" s="21">
        <v>920.03399999999999</v>
      </c>
      <c r="X962" s="32">
        <v>85.799000000000007</v>
      </c>
    </row>
    <row r="963" spans="17:24" x14ac:dyDescent="0.25">
      <c r="Q963" s="19" t="s">
        <v>243</v>
      </c>
      <c r="R963" s="20">
        <v>45347</v>
      </c>
      <c r="S963" s="44">
        <v>320.64299999999997</v>
      </c>
      <c r="T963" s="21">
        <v>1.1160000000000001</v>
      </c>
      <c r="U963" s="21">
        <v>0.52</v>
      </c>
      <c r="V963" s="21">
        <v>2120</v>
      </c>
      <c r="W963" s="21">
        <v>923.12699999999995</v>
      </c>
      <c r="X963" s="32">
        <v>86.638000000000005</v>
      </c>
    </row>
    <row r="964" spans="17:24" x14ac:dyDescent="0.25">
      <c r="Q964" s="19" t="s">
        <v>243</v>
      </c>
      <c r="R964" s="20">
        <v>45347</v>
      </c>
      <c r="S964" s="44">
        <v>244.09800000000001</v>
      </c>
      <c r="T964" s="21">
        <v>0.74</v>
      </c>
      <c r="U964" s="21">
        <v>0.08</v>
      </c>
      <c r="V964" s="21">
        <v>2120</v>
      </c>
      <c r="W964" s="21">
        <v>973.85400000000004</v>
      </c>
      <c r="X964" s="32">
        <v>87.61</v>
      </c>
    </row>
    <row r="965" spans="17:24" x14ac:dyDescent="0.25">
      <c r="Q965" s="19" t="s">
        <v>243</v>
      </c>
      <c r="R965" s="20">
        <v>45347</v>
      </c>
      <c r="S965" s="44">
        <v>244.09800000000001</v>
      </c>
      <c r="T965" s="21">
        <v>0.74</v>
      </c>
      <c r="U965" s="21">
        <v>0.08</v>
      </c>
      <c r="V965" s="21">
        <v>2070</v>
      </c>
      <c r="W965" s="21">
        <v>970.08</v>
      </c>
      <c r="X965" s="32">
        <v>87.293000000000006</v>
      </c>
    </row>
    <row r="966" spans="17:24" x14ac:dyDescent="0.25">
      <c r="Q966" s="19" t="s">
        <v>243</v>
      </c>
      <c r="R966" s="20">
        <v>45347</v>
      </c>
      <c r="S966" s="44">
        <v>244.09800000000001</v>
      </c>
      <c r="T966" s="21">
        <v>0.74</v>
      </c>
      <c r="U966" s="21">
        <v>0.08</v>
      </c>
      <c r="V966" s="21">
        <v>2020</v>
      </c>
      <c r="W966" s="21">
        <v>966.44899999999996</v>
      </c>
      <c r="X966" s="32">
        <v>86.965999999999994</v>
      </c>
    </row>
    <row r="967" spans="17:24" x14ac:dyDescent="0.25">
      <c r="Q967" s="19" t="s">
        <v>243</v>
      </c>
      <c r="R967" s="20">
        <v>45347</v>
      </c>
      <c r="S967" s="44">
        <v>244.09800000000001</v>
      </c>
      <c r="T967" s="21">
        <v>0.74</v>
      </c>
      <c r="U967" s="21">
        <v>0.08</v>
      </c>
      <c r="V967" s="21">
        <v>1000</v>
      </c>
      <c r="W967" s="21">
        <v>871.28399999999999</v>
      </c>
      <c r="X967" s="32">
        <v>77.67</v>
      </c>
    </row>
    <row r="968" spans="17:24" ht="16.5" thickBot="1" x14ac:dyDescent="0.3">
      <c r="Q968" s="24" t="s">
        <v>243</v>
      </c>
      <c r="R968" s="25">
        <v>45347</v>
      </c>
      <c r="S968" s="45">
        <v>244.09800000000001</v>
      </c>
      <c r="T968" s="26">
        <v>0.74</v>
      </c>
      <c r="U968" s="26">
        <v>0.08</v>
      </c>
      <c r="V968" s="26">
        <v>0</v>
      </c>
      <c r="W968" s="26">
        <v>773.60400000000004</v>
      </c>
      <c r="X968" s="33">
        <v>41.088999999999999</v>
      </c>
    </row>
    <row r="969" spans="17:24" x14ac:dyDescent="0.25">
      <c r="Q969" s="14" t="s">
        <v>220</v>
      </c>
      <c r="R969" s="15">
        <v>45342</v>
      </c>
      <c r="S969" s="43">
        <v>517.00400000000002</v>
      </c>
      <c r="T969" s="16">
        <v>5.0999999999999996</v>
      </c>
      <c r="U969" s="16">
        <v>0.48</v>
      </c>
      <c r="V969" s="16">
        <v>0</v>
      </c>
      <c r="W969" s="16">
        <v>614.36300000000006</v>
      </c>
      <c r="X969" s="35">
        <v>26.637</v>
      </c>
    </row>
    <row r="970" spans="17:24" x14ac:dyDescent="0.25">
      <c r="Q970" s="19" t="s">
        <v>220</v>
      </c>
      <c r="R970" s="20">
        <v>45342</v>
      </c>
      <c r="S970" s="44">
        <v>517.00400000000002</v>
      </c>
      <c r="T970" s="21">
        <v>5.0999999999999996</v>
      </c>
      <c r="U970" s="21">
        <v>0.48</v>
      </c>
      <c r="V970" s="21">
        <v>1000</v>
      </c>
      <c r="W970" s="21">
        <v>810.06299999999999</v>
      </c>
      <c r="X970" s="32">
        <v>75.989000000000004</v>
      </c>
    </row>
    <row r="971" spans="17:24" x14ac:dyDescent="0.25">
      <c r="Q971" s="19" t="s">
        <v>220</v>
      </c>
      <c r="R971" s="20">
        <v>45342</v>
      </c>
      <c r="S971" s="44">
        <v>517.00400000000002</v>
      </c>
      <c r="T971" s="21">
        <v>5.0999999999999996</v>
      </c>
      <c r="U971" s="21">
        <v>0.48</v>
      </c>
      <c r="V971" s="21">
        <v>2040</v>
      </c>
      <c r="W971" s="21">
        <v>991.221</v>
      </c>
      <c r="X971" s="32">
        <v>88.058999999999997</v>
      </c>
    </row>
    <row r="972" spans="17:24" x14ac:dyDescent="0.25">
      <c r="Q972" s="19" t="s">
        <v>220</v>
      </c>
      <c r="R972" s="20">
        <v>45342</v>
      </c>
      <c r="S972" s="44">
        <v>517.00400000000002</v>
      </c>
      <c r="T972" s="21">
        <v>5.0999999999999996</v>
      </c>
      <c r="U972" s="21">
        <v>0.48</v>
      </c>
      <c r="V972" s="21">
        <v>2090</v>
      </c>
      <c r="W972" s="21">
        <v>999.10900000000004</v>
      </c>
      <c r="X972" s="32">
        <v>89.35</v>
      </c>
    </row>
    <row r="973" spans="17:24" x14ac:dyDescent="0.25">
      <c r="Q973" s="19" t="s">
        <v>220</v>
      </c>
      <c r="R973" s="20">
        <v>45342</v>
      </c>
      <c r="S973" s="44">
        <v>517.00400000000002</v>
      </c>
      <c r="T973" s="21">
        <v>5.0999999999999996</v>
      </c>
      <c r="U973" s="21">
        <v>0.48</v>
      </c>
      <c r="V973" s="21">
        <v>2140</v>
      </c>
      <c r="W973" s="21">
        <v>1003.03</v>
      </c>
      <c r="X973" s="32">
        <v>90.147000000000006</v>
      </c>
    </row>
    <row r="974" spans="17:24" x14ac:dyDescent="0.25">
      <c r="Q974" s="19" t="s">
        <v>220</v>
      </c>
      <c r="R974" s="20">
        <v>45343</v>
      </c>
      <c r="S974" s="44">
        <v>390.76400000000001</v>
      </c>
      <c r="T974" s="21">
        <v>4.78</v>
      </c>
      <c r="U974" s="21">
        <v>0.4</v>
      </c>
      <c r="V974" s="21">
        <v>0</v>
      </c>
      <c r="W974" s="21">
        <v>737.38099999999997</v>
      </c>
      <c r="X974" s="32">
        <v>11.879</v>
      </c>
    </row>
    <row r="975" spans="17:24" x14ac:dyDescent="0.25">
      <c r="Q975" s="19" t="s">
        <v>220</v>
      </c>
      <c r="R975" s="20">
        <v>45343</v>
      </c>
      <c r="S975" s="44">
        <v>390.76400000000001</v>
      </c>
      <c r="T975" s="21">
        <v>4.78</v>
      </c>
      <c r="U975" s="21">
        <v>0.4</v>
      </c>
      <c r="V975" s="21">
        <v>1000</v>
      </c>
      <c r="W975" s="21">
        <v>873.16499999999996</v>
      </c>
      <c r="X975" s="32">
        <v>76.302000000000007</v>
      </c>
    </row>
    <row r="976" spans="17:24" x14ac:dyDescent="0.25">
      <c r="Q976" s="19" t="s">
        <v>220</v>
      </c>
      <c r="R976" s="20">
        <v>45343</v>
      </c>
      <c r="S976" s="44">
        <v>390.76400000000001</v>
      </c>
      <c r="T976" s="21">
        <v>4.78</v>
      </c>
      <c r="U976" s="21">
        <v>0.4</v>
      </c>
      <c r="V976" s="21">
        <v>2040</v>
      </c>
      <c r="W976" s="21">
        <v>1007.937</v>
      </c>
      <c r="X976" s="32">
        <v>88.251999999999995</v>
      </c>
    </row>
    <row r="977" spans="17:24" x14ac:dyDescent="0.25">
      <c r="Q977" s="19" t="s">
        <v>220</v>
      </c>
      <c r="R977" s="20">
        <v>45343</v>
      </c>
      <c r="S977" s="44">
        <v>390.76400000000001</v>
      </c>
      <c r="T977" s="21">
        <v>4.78</v>
      </c>
      <c r="U977" s="21">
        <v>0.4</v>
      </c>
      <c r="V977" s="21">
        <v>2090</v>
      </c>
      <c r="W977" s="21">
        <v>1014.342</v>
      </c>
      <c r="X977" s="32">
        <v>89.519000000000005</v>
      </c>
    </row>
    <row r="978" spans="17:24" x14ac:dyDescent="0.25">
      <c r="Q978" s="19" t="s">
        <v>220</v>
      </c>
      <c r="R978" s="20">
        <v>45343</v>
      </c>
      <c r="S978" s="44">
        <v>390.76400000000001</v>
      </c>
      <c r="T978" s="21">
        <v>4.78</v>
      </c>
      <c r="U978" s="21">
        <v>0.4</v>
      </c>
      <c r="V978" s="21">
        <v>2140</v>
      </c>
      <c r="W978" s="21">
        <v>1018.6559999999999</v>
      </c>
      <c r="X978" s="32">
        <v>90.406000000000006</v>
      </c>
    </row>
    <row r="979" spans="17:24" x14ac:dyDescent="0.25">
      <c r="Q979" s="19" t="s">
        <v>220</v>
      </c>
      <c r="R979" s="20">
        <v>45343</v>
      </c>
      <c r="S979" s="44">
        <v>271.63</v>
      </c>
      <c r="T979" s="21">
        <v>3.69</v>
      </c>
      <c r="U979" s="21">
        <v>0.12</v>
      </c>
      <c r="V979" s="21">
        <v>2140</v>
      </c>
      <c r="W979" s="21">
        <v>1030.876</v>
      </c>
      <c r="X979" s="32">
        <v>90.600999999999999</v>
      </c>
    </row>
    <row r="980" spans="17:24" x14ac:dyDescent="0.25">
      <c r="Q980" s="19" t="s">
        <v>220</v>
      </c>
      <c r="R980" s="20">
        <v>45343</v>
      </c>
      <c r="S980" s="44">
        <v>271.63</v>
      </c>
      <c r="T980" s="21">
        <v>3.69</v>
      </c>
      <c r="U980" s="21">
        <v>0.12</v>
      </c>
      <c r="V980" s="21">
        <v>2090</v>
      </c>
      <c r="W980" s="21">
        <v>1027.0219999999999</v>
      </c>
      <c r="X980" s="32">
        <v>90.382000000000005</v>
      </c>
    </row>
    <row r="981" spans="17:24" x14ac:dyDescent="0.25">
      <c r="Q981" s="19" t="s">
        <v>220</v>
      </c>
      <c r="R981" s="20">
        <v>45343</v>
      </c>
      <c r="S981" s="44">
        <v>271.63</v>
      </c>
      <c r="T981" s="21">
        <v>3.69</v>
      </c>
      <c r="U981" s="21">
        <v>0.12</v>
      </c>
      <c r="V981" s="21">
        <v>2040</v>
      </c>
      <c r="W981" s="21">
        <v>1022.225</v>
      </c>
      <c r="X981" s="32">
        <v>90.093000000000004</v>
      </c>
    </row>
    <row r="982" spans="17:24" x14ac:dyDescent="0.25">
      <c r="Q982" s="19" t="s">
        <v>220</v>
      </c>
      <c r="R982" s="20">
        <v>45343</v>
      </c>
      <c r="S982" s="44">
        <v>271.63</v>
      </c>
      <c r="T982" s="21">
        <v>3.69</v>
      </c>
      <c r="U982" s="21">
        <v>0.12</v>
      </c>
      <c r="V982" s="21">
        <v>1000</v>
      </c>
      <c r="W982" s="21">
        <v>918.60199999999998</v>
      </c>
      <c r="X982" s="32">
        <v>81.236000000000004</v>
      </c>
    </row>
    <row r="983" spans="17:24" ht="16.5" thickBot="1" x14ac:dyDescent="0.3">
      <c r="Q983" s="24" t="s">
        <v>220</v>
      </c>
      <c r="R983" s="25">
        <v>45343</v>
      </c>
      <c r="S983" s="45">
        <v>271.63</v>
      </c>
      <c r="T983" s="26">
        <v>3.69</v>
      </c>
      <c r="U983" s="26">
        <v>0.12</v>
      </c>
      <c r="V983" s="26">
        <v>0</v>
      </c>
      <c r="W983" s="26">
        <v>818.16</v>
      </c>
      <c r="X983" s="33">
        <v>42.356999999999999</v>
      </c>
    </row>
    <row r="984" spans="17:24" x14ac:dyDescent="0.25">
      <c r="Q984" s="14" t="s">
        <v>45</v>
      </c>
      <c r="R984" s="15">
        <v>45334</v>
      </c>
      <c r="S984" s="43">
        <v>509.80099999999999</v>
      </c>
      <c r="T984" s="16">
        <v>10.11</v>
      </c>
      <c r="U984" s="16">
        <v>0.52</v>
      </c>
      <c r="V984" s="16">
        <v>0</v>
      </c>
      <c r="W984" s="16">
        <v>594.76900000000001</v>
      </c>
      <c r="X984" s="35">
        <v>23.992999999999999</v>
      </c>
    </row>
    <row r="985" spans="17:24" x14ac:dyDescent="0.25">
      <c r="Q985" s="19" t="s">
        <v>45</v>
      </c>
      <c r="R985" s="20">
        <v>45334</v>
      </c>
      <c r="S985" s="44">
        <v>509.80099999999999</v>
      </c>
      <c r="T985" s="21">
        <v>10.11</v>
      </c>
      <c r="U985" s="21">
        <v>0.52</v>
      </c>
      <c r="V985" s="21">
        <v>2040</v>
      </c>
      <c r="W985" s="21">
        <v>976.86599999999999</v>
      </c>
      <c r="X985" s="32">
        <v>90.991</v>
      </c>
    </row>
    <row r="986" spans="17:24" x14ac:dyDescent="0.25">
      <c r="Q986" s="19" t="s">
        <v>45</v>
      </c>
      <c r="R986" s="20">
        <v>45334</v>
      </c>
      <c r="S986" s="44">
        <v>509.80099999999999</v>
      </c>
      <c r="T986" s="21">
        <v>10.11</v>
      </c>
      <c r="U986" s="21">
        <v>0.52</v>
      </c>
      <c r="V986" s="21">
        <v>2090</v>
      </c>
      <c r="W986" s="21">
        <v>980.63099999999997</v>
      </c>
      <c r="X986" s="32">
        <v>91.399000000000001</v>
      </c>
    </row>
    <row r="987" spans="17:24" x14ac:dyDescent="0.25">
      <c r="Q987" s="19" t="s">
        <v>45</v>
      </c>
      <c r="R987" s="20">
        <v>45334</v>
      </c>
      <c r="S987" s="44">
        <v>509.80099999999999</v>
      </c>
      <c r="T987" s="21">
        <v>10.11</v>
      </c>
      <c r="U987" s="21">
        <v>0.52</v>
      </c>
      <c r="V987" s="21">
        <v>2140</v>
      </c>
      <c r="W987" s="21">
        <v>985.2</v>
      </c>
      <c r="X987" s="32">
        <v>91.834000000000003</v>
      </c>
    </row>
    <row r="988" spans="17:24" x14ac:dyDescent="0.25">
      <c r="Q988" s="19" t="s">
        <v>45</v>
      </c>
      <c r="R988" s="20">
        <v>45335</v>
      </c>
      <c r="S988" s="44">
        <v>390.28899999999999</v>
      </c>
      <c r="T988" s="21">
        <v>6.52</v>
      </c>
      <c r="U988" s="21">
        <v>0.32</v>
      </c>
      <c r="V988" s="21">
        <v>0</v>
      </c>
      <c r="W988" s="21">
        <v>739.9</v>
      </c>
      <c r="X988" s="32">
        <v>28.2</v>
      </c>
    </row>
    <row r="989" spans="17:24" x14ac:dyDescent="0.25">
      <c r="Q989" s="19" t="s">
        <v>45</v>
      </c>
      <c r="R989" s="20">
        <v>45335</v>
      </c>
      <c r="S989" s="44">
        <v>390.28899999999999</v>
      </c>
      <c r="T989" s="21">
        <v>6.52</v>
      </c>
      <c r="U989" s="21">
        <v>0.32</v>
      </c>
      <c r="V989" s="21">
        <v>2040</v>
      </c>
      <c r="W989" s="21">
        <v>1008.24</v>
      </c>
      <c r="X989" s="32">
        <v>90.8</v>
      </c>
    </row>
    <row r="990" spans="17:24" x14ac:dyDescent="0.25">
      <c r="Q990" s="19" t="s">
        <v>45</v>
      </c>
      <c r="R990" s="20">
        <v>45335</v>
      </c>
      <c r="S990" s="44">
        <v>390.28899999999999</v>
      </c>
      <c r="T990" s="21">
        <v>6.52</v>
      </c>
      <c r="U990" s="21">
        <v>0.32</v>
      </c>
      <c r="V990" s="21">
        <v>2090</v>
      </c>
      <c r="W990" s="21">
        <v>1011.98</v>
      </c>
      <c r="X990" s="32">
        <v>91.7</v>
      </c>
    </row>
    <row r="991" spans="17:24" x14ac:dyDescent="0.25">
      <c r="Q991" s="19" t="s">
        <v>45</v>
      </c>
      <c r="R991" s="20">
        <v>45335</v>
      </c>
      <c r="S991" s="44">
        <v>390.28899999999999</v>
      </c>
      <c r="T991" s="21">
        <v>6.52</v>
      </c>
      <c r="U991" s="21">
        <v>0.32</v>
      </c>
      <c r="V991" s="21">
        <v>2140</v>
      </c>
      <c r="W991" s="21">
        <v>1016.37</v>
      </c>
      <c r="X991" s="32">
        <v>92.2</v>
      </c>
    </row>
    <row r="992" spans="17:24" x14ac:dyDescent="0.25">
      <c r="Q992" s="19" t="s">
        <v>45</v>
      </c>
      <c r="R992" s="20">
        <v>45335</v>
      </c>
      <c r="S992" s="44">
        <v>268.70499999999998</v>
      </c>
      <c r="T992" s="21">
        <v>3.61</v>
      </c>
      <c r="U992" s="21">
        <v>0</v>
      </c>
      <c r="V992" s="21">
        <v>2140</v>
      </c>
      <c r="W992" s="21">
        <v>1037.4100000000001</v>
      </c>
      <c r="X992" s="32">
        <v>92.5</v>
      </c>
    </row>
    <row r="993" spans="17:24" x14ac:dyDescent="0.25">
      <c r="Q993" s="19" t="s">
        <v>45</v>
      </c>
      <c r="R993" s="20">
        <v>45335</v>
      </c>
      <c r="S993" s="44">
        <v>268.70499999999998</v>
      </c>
      <c r="T993" s="21">
        <v>3.61</v>
      </c>
      <c r="U993" s="21">
        <v>0</v>
      </c>
      <c r="V993" s="21">
        <v>2090</v>
      </c>
      <c r="W993" s="21">
        <v>1033.5899999999999</v>
      </c>
      <c r="X993" s="32">
        <v>92.2</v>
      </c>
    </row>
    <row r="994" spans="17:24" x14ac:dyDescent="0.25">
      <c r="Q994" s="19" t="s">
        <v>45</v>
      </c>
      <c r="R994" s="20">
        <v>45335</v>
      </c>
      <c r="S994" s="44">
        <v>268.70499999999998</v>
      </c>
      <c r="T994" s="21">
        <v>3.61</v>
      </c>
      <c r="U994" s="21">
        <v>0</v>
      </c>
      <c r="V994" s="21">
        <v>2040</v>
      </c>
      <c r="W994" s="21">
        <v>1029.8399999999999</v>
      </c>
      <c r="X994" s="32">
        <v>91.9</v>
      </c>
    </row>
    <row r="995" spans="17:24" ht="16.5" thickBot="1" x14ac:dyDescent="0.3">
      <c r="Q995" s="24" t="s">
        <v>45</v>
      </c>
      <c r="R995" s="25">
        <v>45335</v>
      </c>
      <c r="S995" s="45">
        <v>268.70499999999998</v>
      </c>
      <c r="T995" s="26">
        <v>3.61</v>
      </c>
      <c r="U995" s="26">
        <v>0</v>
      </c>
      <c r="V995" s="26">
        <v>0</v>
      </c>
      <c r="W995" s="26">
        <v>833.08</v>
      </c>
      <c r="X995" s="33">
        <v>50.9</v>
      </c>
    </row>
    <row r="996" spans="17:24" x14ac:dyDescent="0.25">
      <c r="Q996" s="14" t="s">
        <v>132</v>
      </c>
      <c r="R996" s="15">
        <v>45320</v>
      </c>
      <c r="S996" s="43">
        <v>921.48400000000004</v>
      </c>
      <c r="T996" s="16">
        <v>5.37</v>
      </c>
      <c r="U996" s="16">
        <v>0.96</v>
      </c>
      <c r="V996" s="16">
        <v>0</v>
      </c>
      <c r="W996" s="16">
        <v>661.04</v>
      </c>
      <c r="X996" s="35">
        <v>17.8</v>
      </c>
    </row>
    <row r="997" spans="17:24" x14ac:dyDescent="0.25">
      <c r="Q997" s="19" t="s">
        <v>132</v>
      </c>
      <c r="R997" s="20">
        <v>45320</v>
      </c>
      <c r="S997" s="44">
        <v>921.48400000000004</v>
      </c>
      <c r="T997" s="21">
        <v>5.37</v>
      </c>
      <c r="U997" s="21">
        <v>0.96</v>
      </c>
      <c r="V997" s="21">
        <v>1825</v>
      </c>
      <c r="W997" s="21">
        <v>837.36</v>
      </c>
      <c r="X997" s="32">
        <v>85.2</v>
      </c>
    </row>
    <row r="998" spans="17:24" x14ac:dyDescent="0.25">
      <c r="Q998" s="19" t="s">
        <v>132</v>
      </c>
      <c r="R998" s="20">
        <v>45320</v>
      </c>
      <c r="S998" s="44">
        <v>921.48400000000004</v>
      </c>
      <c r="T998" s="21">
        <v>5.37</v>
      </c>
      <c r="U998" s="21">
        <v>0.96</v>
      </c>
      <c r="V998" s="21">
        <v>1850</v>
      </c>
      <c r="W998" s="21">
        <v>839.99</v>
      </c>
      <c r="X998" s="32">
        <v>86.6</v>
      </c>
    </row>
    <row r="999" spans="17:24" x14ac:dyDescent="0.25">
      <c r="Q999" s="19" t="s">
        <v>132</v>
      </c>
      <c r="R999" s="20">
        <v>45320</v>
      </c>
      <c r="S999" s="44">
        <v>921.48400000000004</v>
      </c>
      <c r="T999" s="21">
        <v>5.37</v>
      </c>
      <c r="U999" s="21">
        <v>0.96</v>
      </c>
      <c r="V999" s="21">
        <v>1875</v>
      </c>
      <c r="W999" s="21">
        <v>842.61</v>
      </c>
      <c r="X999" s="32">
        <v>86.9</v>
      </c>
    </row>
    <row r="1000" spans="17:24" x14ac:dyDescent="0.25">
      <c r="Q1000" s="19" t="s">
        <v>132</v>
      </c>
      <c r="R1000" s="20">
        <v>45320</v>
      </c>
      <c r="S1000" s="44">
        <v>921.48400000000004</v>
      </c>
      <c r="T1000" s="21">
        <v>5.37</v>
      </c>
      <c r="U1000" s="21">
        <v>0.96</v>
      </c>
      <c r="V1000" s="21">
        <v>1900</v>
      </c>
      <c r="W1000" s="21">
        <v>845.13</v>
      </c>
      <c r="X1000" s="32">
        <v>87.1</v>
      </c>
    </row>
    <row r="1001" spans="17:24" x14ac:dyDescent="0.25">
      <c r="Q1001" s="19" t="s">
        <v>132</v>
      </c>
      <c r="R1001" s="20">
        <v>45320</v>
      </c>
      <c r="S1001" s="44">
        <v>921.48400000000004</v>
      </c>
      <c r="T1001" s="21">
        <v>5.37</v>
      </c>
      <c r="U1001" s="21">
        <v>0.96</v>
      </c>
      <c r="V1001" s="21">
        <v>1915</v>
      </c>
      <c r="W1001" s="21">
        <v>847.71</v>
      </c>
      <c r="X1001" s="32">
        <v>87.3</v>
      </c>
    </row>
    <row r="1002" spans="17:24" x14ac:dyDescent="0.25">
      <c r="Q1002" s="19" t="s">
        <v>132</v>
      </c>
      <c r="R1002" s="20">
        <v>45320</v>
      </c>
      <c r="S1002" s="44">
        <v>921.48400000000004</v>
      </c>
      <c r="T1002" s="21">
        <v>5.37</v>
      </c>
      <c r="U1002" s="21">
        <v>0.96</v>
      </c>
      <c r="V1002" s="21">
        <v>1900</v>
      </c>
      <c r="W1002" s="21">
        <v>845.47</v>
      </c>
      <c r="X1002" s="32">
        <v>87.2</v>
      </c>
    </row>
    <row r="1003" spans="17:24" x14ac:dyDescent="0.25">
      <c r="Q1003" s="19" t="s">
        <v>132</v>
      </c>
      <c r="R1003" s="20">
        <v>45320</v>
      </c>
      <c r="S1003" s="44">
        <v>921.48400000000004</v>
      </c>
      <c r="T1003" s="21">
        <v>5.37</v>
      </c>
      <c r="U1003" s="21">
        <v>0.96</v>
      </c>
      <c r="V1003" s="21">
        <v>1875</v>
      </c>
      <c r="W1003" s="21">
        <v>843.04</v>
      </c>
      <c r="X1003" s="32">
        <v>87</v>
      </c>
    </row>
    <row r="1004" spans="17:24" x14ac:dyDescent="0.25">
      <c r="Q1004" s="19" t="s">
        <v>132</v>
      </c>
      <c r="R1004" s="20">
        <v>45320</v>
      </c>
      <c r="S1004" s="44">
        <v>921.48400000000004</v>
      </c>
      <c r="T1004" s="21">
        <v>5.37</v>
      </c>
      <c r="U1004" s="21">
        <v>0.96</v>
      </c>
      <c r="V1004" s="21">
        <v>1850</v>
      </c>
      <c r="W1004" s="21">
        <v>840.79</v>
      </c>
      <c r="X1004" s="32">
        <v>86.8</v>
      </c>
    </row>
    <row r="1005" spans="17:24" x14ac:dyDescent="0.25">
      <c r="Q1005" s="19" t="s">
        <v>132</v>
      </c>
      <c r="R1005" s="20">
        <v>45320</v>
      </c>
      <c r="S1005" s="44">
        <v>921.48400000000004</v>
      </c>
      <c r="T1005" s="21">
        <v>5.37</v>
      </c>
      <c r="U1005" s="21">
        <v>0.96</v>
      </c>
      <c r="V1005" s="21">
        <v>1825</v>
      </c>
      <c r="W1005" s="21">
        <v>674.12</v>
      </c>
      <c r="X1005" s="32">
        <v>49.8</v>
      </c>
    </row>
    <row r="1006" spans="17:24" x14ac:dyDescent="0.25">
      <c r="Q1006" s="19" t="s">
        <v>132</v>
      </c>
      <c r="R1006" s="20">
        <v>45320</v>
      </c>
      <c r="S1006" s="44">
        <v>921.48400000000004</v>
      </c>
      <c r="T1006" s="21">
        <v>5.37</v>
      </c>
      <c r="U1006" s="21">
        <v>0.96</v>
      </c>
      <c r="V1006" s="21">
        <v>0</v>
      </c>
      <c r="W1006" s="21">
        <v>671.56</v>
      </c>
      <c r="X1006" s="32">
        <v>40.200000000000003</v>
      </c>
    </row>
    <row r="1007" spans="17:24" x14ac:dyDescent="0.25">
      <c r="Q1007" s="19" t="s">
        <v>132</v>
      </c>
      <c r="R1007" s="20">
        <v>45321</v>
      </c>
      <c r="S1007" s="44">
        <v>702.48500000000001</v>
      </c>
      <c r="T1007" s="21">
        <v>4.3099999999999996</v>
      </c>
      <c r="U1007" s="21">
        <v>0</v>
      </c>
      <c r="V1007" s="21">
        <v>0</v>
      </c>
      <c r="W1007" s="21">
        <v>724.07</v>
      </c>
      <c r="X1007" s="32">
        <v>10.6</v>
      </c>
    </row>
    <row r="1008" spans="17:24" x14ac:dyDescent="0.25">
      <c r="Q1008" s="19" t="s">
        <v>132</v>
      </c>
      <c r="R1008" s="20">
        <v>45321</v>
      </c>
      <c r="S1008" s="44">
        <v>702.48500000000001</v>
      </c>
      <c r="T1008" s="21">
        <v>4.3099999999999996</v>
      </c>
      <c r="U1008" s="21">
        <v>0</v>
      </c>
      <c r="V1008" s="21">
        <v>1825</v>
      </c>
      <c r="W1008" s="21">
        <v>877.3</v>
      </c>
      <c r="X1008" s="32">
        <v>86</v>
      </c>
    </row>
    <row r="1009" spans="17:24" x14ac:dyDescent="0.25">
      <c r="Q1009" s="19" t="s">
        <v>132</v>
      </c>
      <c r="R1009" s="20">
        <v>45321</v>
      </c>
      <c r="S1009" s="44">
        <v>702.48500000000001</v>
      </c>
      <c r="T1009" s="21">
        <v>4.3099999999999996</v>
      </c>
      <c r="U1009" s="21">
        <v>0</v>
      </c>
      <c r="V1009" s="21">
        <v>1850</v>
      </c>
      <c r="W1009" s="21">
        <v>879.85</v>
      </c>
      <c r="X1009" s="32">
        <v>87.1</v>
      </c>
    </row>
    <row r="1010" spans="17:24" x14ac:dyDescent="0.25">
      <c r="Q1010" s="19" t="s">
        <v>132</v>
      </c>
      <c r="R1010" s="20">
        <v>45321</v>
      </c>
      <c r="S1010" s="44">
        <v>702.48500000000001</v>
      </c>
      <c r="T1010" s="21">
        <v>4.3099999999999996</v>
      </c>
      <c r="U1010" s="21">
        <v>0</v>
      </c>
      <c r="V1010" s="21">
        <v>1875</v>
      </c>
      <c r="W1010" s="21">
        <v>882.1</v>
      </c>
      <c r="X1010" s="32">
        <v>87.5</v>
      </c>
    </row>
    <row r="1011" spans="17:24" x14ac:dyDescent="0.25">
      <c r="Q1011" s="19" t="s">
        <v>132</v>
      </c>
      <c r="R1011" s="20">
        <v>45321</v>
      </c>
      <c r="S1011" s="44">
        <v>702.48500000000001</v>
      </c>
      <c r="T1011" s="21">
        <v>4.3099999999999996</v>
      </c>
      <c r="U1011" s="21">
        <v>0</v>
      </c>
      <c r="V1011" s="21">
        <v>1900</v>
      </c>
      <c r="W1011" s="21">
        <v>884.26</v>
      </c>
      <c r="X1011" s="32">
        <v>87.7</v>
      </c>
    </row>
    <row r="1012" spans="17:24" x14ac:dyDescent="0.25">
      <c r="Q1012" s="19" t="s">
        <v>132</v>
      </c>
      <c r="R1012" s="20">
        <v>45321</v>
      </c>
      <c r="S1012" s="44">
        <v>702.48500000000001</v>
      </c>
      <c r="T1012" s="21">
        <v>4.3099999999999996</v>
      </c>
      <c r="U1012" s="21">
        <v>0</v>
      </c>
      <c r="V1012" s="21">
        <v>1915</v>
      </c>
      <c r="W1012" s="21">
        <v>886.44</v>
      </c>
      <c r="X1012" s="32">
        <v>88</v>
      </c>
    </row>
    <row r="1013" spans="17:24" x14ac:dyDescent="0.25">
      <c r="Q1013" s="19" t="s">
        <v>132</v>
      </c>
      <c r="R1013" s="20">
        <v>45321</v>
      </c>
      <c r="S1013" s="44">
        <v>477.25799999999998</v>
      </c>
      <c r="T1013" s="21">
        <v>3.22</v>
      </c>
      <c r="U1013" s="21">
        <v>0</v>
      </c>
      <c r="V1013" s="21">
        <v>1915</v>
      </c>
      <c r="W1013" s="21">
        <v>917.44</v>
      </c>
      <c r="X1013" s="32">
        <v>88.4</v>
      </c>
    </row>
    <row r="1014" spans="17:24" x14ac:dyDescent="0.25">
      <c r="Q1014" s="19" t="s">
        <v>132</v>
      </c>
      <c r="R1014" s="20">
        <v>45321</v>
      </c>
      <c r="S1014" s="44">
        <v>477.25799999999998</v>
      </c>
      <c r="T1014" s="21">
        <v>3.22</v>
      </c>
      <c r="U1014" s="21">
        <v>0</v>
      </c>
      <c r="V1014" s="21">
        <v>1900</v>
      </c>
      <c r="W1014" s="21">
        <v>916.52</v>
      </c>
      <c r="X1014" s="32">
        <v>88.3</v>
      </c>
    </row>
    <row r="1015" spans="17:24" x14ac:dyDescent="0.25">
      <c r="Q1015" s="19" t="s">
        <v>132</v>
      </c>
      <c r="R1015" s="20">
        <v>45321</v>
      </c>
      <c r="S1015" s="44">
        <v>477.25799999999998</v>
      </c>
      <c r="T1015" s="21">
        <v>3.22</v>
      </c>
      <c r="U1015" s="21">
        <v>0</v>
      </c>
      <c r="V1015" s="21">
        <v>1875</v>
      </c>
      <c r="W1015" s="21">
        <v>914.17</v>
      </c>
      <c r="X1015" s="32">
        <v>88.1</v>
      </c>
    </row>
    <row r="1016" spans="17:24" x14ac:dyDescent="0.25">
      <c r="Q1016" s="19" t="s">
        <v>132</v>
      </c>
      <c r="R1016" s="20">
        <v>45321</v>
      </c>
      <c r="S1016" s="44">
        <v>477.25799999999998</v>
      </c>
      <c r="T1016" s="21">
        <v>3.22</v>
      </c>
      <c r="U1016" s="21">
        <v>0</v>
      </c>
      <c r="V1016" s="21">
        <v>1850</v>
      </c>
      <c r="W1016" s="21">
        <v>913.06</v>
      </c>
      <c r="X1016" s="32">
        <v>87.9</v>
      </c>
    </row>
    <row r="1017" spans="17:24" x14ac:dyDescent="0.25">
      <c r="Q1017" s="19" t="s">
        <v>132</v>
      </c>
      <c r="R1017" s="20">
        <v>45321</v>
      </c>
      <c r="S1017" s="44">
        <v>477.25799999999998</v>
      </c>
      <c r="T1017" s="21">
        <v>3.22</v>
      </c>
      <c r="U1017" s="21">
        <v>0</v>
      </c>
      <c r="V1017" s="21">
        <v>1825</v>
      </c>
      <c r="W1017" s="21">
        <v>911.36</v>
      </c>
      <c r="X1017" s="32">
        <v>87.7</v>
      </c>
    </row>
    <row r="1018" spans="17:24" ht="16.5" thickBot="1" x14ac:dyDescent="0.3">
      <c r="Q1018" s="24" t="s">
        <v>132</v>
      </c>
      <c r="R1018" s="25">
        <v>45321</v>
      </c>
      <c r="S1018" s="45">
        <v>477.25799999999998</v>
      </c>
      <c r="T1018" s="26">
        <v>3.22</v>
      </c>
      <c r="U1018" s="26">
        <v>0</v>
      </c>
      <c r="V1018" s="26">
        <v>0</v>
      </c>
      <c r="W1018" s="26">
        <v>784.51</v>
      </c>
      <c r="X1018" s="33">
        <v>50.5</v>
      </c>
    </row>
    <row r="1019" spans="17:24" x14ac:dyDescent="0.25">
      <c r="Q1019" s="19" t="s">
        <v>27</v>
      </c>
      <c r="R1019" s="20">
        <v>45332</v>
      </c>
      <c r="S1019" s="44">
        <v>682.101</v>
      </c>
      <c r="T1019" s="21">
        <v>6.49</v>
      </c>
      <c r="U1019" s="21">
        <v>1.28</v>
      </c>
      <c r="V1019" s="21">
        <v>0</v>
      </c>
      <c r="W1019" s="21">
        <v>645.36</v>
      </c>
      <c r="X1019" s="32">
        <v>23.6</v>
      </c>
    </row>
    <row r="1020" spans="17:24" x14ac:dyDescent="0.25">
      <c r="Q1020" s="19" t="s">
        <v>27</v>
      </c>
      <c r="R1020" s="20">
        <v>45332</v>
      </c>
      <c r="S1020" s="44">
        <v>682.101</v>
      </c>
      <c r="T1020" s="21">
        <v>6.49</v>
      </c>
      <c r="U1020" s="21">
        <v>1.28</v>
      </c>
      <c r="V1020" s="21">
        <v>2010</v>
      </c>
      <c r="W1020" s="21">
        <v>1026.02</v>
      </c>
      <c r="X1020" s="32">
        <v>90.3</v>
      </c>
    </row>
    <row r="1021" spans="17:24" x14ac:dyDescent="0.25">
      <c r="Q1021" s="19" t="s">
        <v>27</v>
      </c>
      <c r="R1021" s="20">
        <v>45332</v>
      </c>
      <c r="S1021" s="44">
        <v>682.101</v>
      </c>
      <c r="T1021" s="21">
        <v>6.49</v>
      </c>
      <c r="U1021" s="21">
        <v>1.28</v>
      </c>
      <c r="V1021" s="21">
        <v>2060</v>
      </c>
      <c r="W1021" s="21">
        <v>1029.22</v>
      </c>
      <c r="X1021" s="32">
        <v>91.1</v>
      </c>
    </row>
    <row r="1022" spans="17:24" x14ac:dyDescent="0.25">
      <c r="Q1022" s="19" t="s">
        <v>27</v>
      </c>
      <c r="R1022" s="20">
        <v>45332</v>
      </c>
      <c r="S1022" s="44">
        <v>682.101</v>
      </c>
      <c r="T1022" s="21">
        <v>6.49</v>
      </c>
      <c r="U1022" s="21">
        <v>1.28</v>
      </c>
      <c r="V1022" s="21">
        <v>2110</v>
      </c>
      <c r="W1022" s="21">
        <v>1033.69</v>
      </c>
      <c r="X1022" s="32">
        <v>91.4</v>
      </c>
    </row>
    <row r="1023" spans="17:24" x14ac:dyDescent="0.25">
      <c r="Q1023" s="19" t="s">
        <v>27</v>
      </c>
      <c r="R1023" s="20">
        <v>45333</v>
      </c>
      <c r="S1023" s="44">
        <v>481.20100000000002</v>
      </c>
      <c r="T1023" s="21">
        <v>4.32</v>
      </c>
      <c r="U1023" s="21">
        <v>0.52</v>
      </c>
      <c r="V1023" s="21">
        <v>0</v>
      </c>
      <c r="W1023" s="21">
        <v>755.62</v>
      </c>
      <c r="X1023" s="32">
        <v>28.9</v>
      </c>
    </row>
    <row r="1024" spans="17:24" x14ac:dyDescent="0.25">
      <c r="Q1024" s="19" t="s">
        <v>27</v>
      </c>
      <c r="R1024" s="20">
        <v>45333</v>
      </c>
      <c r="S1024" s="44">
        <v>481.20100000000002</v>
      </c>
      <c r="T1024" s="21">
        <v>4.32</v>
      </c>
      <c r="U1024" s="21">
        <v>0.52</v>
      </c>
      <c r="V1024" s="21">
        <v>2010</v>
      </c>
      <c r="W1024" s="21">
        <v>1034.8399999999999</v>
      </c>
      <c r="X1024" s="32">
        <v>90</v>
      </c>
    </row>
    <row r="1025" spans="17:24" x14ac:dyDescent="0.25">
      <c r="Q1025" s="19" t="s">
        <v>27</v>
      </c>
      <c r="R1025" s="20">
        <v>45333</v>
      </c>
      <c r="S1025" s="44">
        <v>481.20100000000002</v>
      </c>
      <c r="T1025" s="21">
        <v>4.32</v>
      </c>
      <c r="U1025" s="21">
        <v>0.52</v>
      </c>
      <c r="V1025" s="21">
        <v>2060</v>
      </c>
      <c r="W1025" s="21">
        <v>1038.76</v>
      </c>
      <c r="X1025" s="32">
        <v>91.2</v>
      </c>
    </row>
    <row r="1026" spans="17:24" x14ac:dyDescent="0.25">
      <c r="Q1026" s="19" t="s">
        <v>27</v>
      </c>
      <c r="R1026" s="20">
        <v>45333</v>
      </c>
      <c r="S1026" s="44">
        <v>481.20100000000002</v>
      </c>
      <c r="T1026" s="21">
        <v>4.32</v>
      </c>
      <c r="U1026" s="21">
        <v>0.52</v>
      </c>
      <c r="V1026" s="21">
        <v>2110</v>
      </c>
      <c r="W1026" s="21">
        <v>1043.3</v>
      </c>
      <c r="X1026" s="32">
        <v>91.6</v>
      </c>
    </row>
    <row r="1027" spans="17:24" x14ac:dyDescent="0.25">
      <c r="Q1027" s="19" t="s">
        <v>27</v>
      </c>
      <c r="R1027" s="20">
        <v>45333</v>
      </c>
      <c r="S1027" s="44">
        <v>352.38299999999998</v>
      </c>
      <c r="T1027" s="21">
        <v>2.87</v>
      </c>
      <c r="U1027" s="21">
        <v>0.36</v>
      </c>
      <c r="V1027" s="21">
        <v>2110</v>
      </c>
      <c r="W1027" s="21">
        <v>1049.6300000000001</v>
      </c>
      <c r="X1027" s="32">
        <v>91.7</v>
      </c>
    </row>
    <row r="1028" spans="17:24" x14ac:dyDescent="0.25">
      <c r="Q1028" s="19" t="s">
        <v>27</v>
      </c>
      <c r="R1028" s="20">
        <v>45333</v>
      </c>
      <c r="S1028" s="44">
        <v>352.38299999999998</v>
      </c>
      <c r="T1028" s="21">
        <v>2.87</v>
      </c>
      <c r="U1028" s="21">
        <v>0.36</v>
      </c>
      <c r="V1028" s="21">
        <v>2060</v>
      </c>
      <c r="W1028" s="21">
        <v>1045.8599999999999</v>
      </c>
      <c r="X1028" s="32">
        <v>91.5</v>
      </c>
    </row>
    <row r="1029" spans="17:24" x14ac:dyDescent="0.25">
      <c r="Q1029" s="19" t="s">
        <v>27</v>
      </c>
      <c r="R1029" s="20">
        <v>45333</v>
      </c>
      <c r="S1029" s="44">
        <v>352.38299999999998</v>
      </c>
      <c r="T1029" s="21">
        <v>2.87</v>
      </c>
      <c r="U1029" s="21">
        <v>0.36</v>
      </c>
      <c r="V1029" s="21">
        <v>2010</v>
      </c>
      <c r="W1029" s="21">
        <v>1042.0999999999999</v>
      </c>
      <c r="X1029" s="32">
        <v>91.2</v>
      </c>
    </row>
    <row r="1030" spans="17:24" ht="16.5" thickBot="1" x14ac:dyDescent="0.3">
      <c r="Q1030" s="19" t="s">
        <v>27</v>
      </c>
      <c r="R1030" s="20">
        <v>45333</v>
      </c>
      <c r="S1030" s="44">
        <v>352.38299999999998</v>
      </c>
      <c r="T1030" s="21">
        <v>2.87</v>
      </c>
      <c r="U1030" s="21">
        <v>0.36</v>
      </c>
      <c r="V1030" s="21">
        <v>0</v>
      </c>
      <c r="W1030" s="21">
        <v>850.4</v>
      </c>
      <c r="X1030" s="32">
        <v>49.9</v>
      </c>
    </row>
    <row r="1031" spans="17:24" x14ac:dyDescent="0.25">
      <c r="Q1031" s="14" t="s">
        <v>265</v>
      </c>
      <c r="R1031" s="15">
        <v>45349</v>
      </c>
      <c r="S1031" s="43">
        <v>754.62400000000002</v>
      </c>
      <c r="T1031" s="16">
        <v>3.44</v>
      </c>
      <c r="U1031" s="16">
        <v>1.44</v>
      </c>
      <c r="V1031" s="16">
        <v>0</v>
      </c>
      <c r="W1031" s="16">
        <v>587.51400000000001</v>
      </c>
      <c r="X1031" s="35">
        <v>13.7234</v>
      </c>
    </row>
    <row r="1032" spans="17:24" x14ac:dyDescent="0.25">
      <c r="Q1032" s="19" t="s">
        <v>265</v>
      </c>
      <c r="R1032" s="20">
        <v>45349</v>
      </c>
      <c r="S1032" s="44">
        <v>754.62400000000002</v>
      </c>
      <c r="T1032" s="21">
        <v>3.44</v>
      </c>
      <c r="U1032" s="21">
        <v>1.44</v>
      </c>
      <c r="V1032" s="21">
        <v>1000</v>
      </c>
      <c r="W1032" s="21">
        <v>807.78399999999999</v>
      </c>
      <c r="X1032" s="32">
        <v>77.323400000000007</v>
      </c>
    </row>
    <row r="1033" spans="17:24" x14ac:dyDescent="0.25">
      <c r="Q1033" s="19" t="s">
        <v>265</v>
      </c>
      <c r="R1033" s="20">
        <v>45349</v>
      </c>
      <c r="S1033" s="44">
        <v>754.62400000000002</v>
      </c>
      <c r="T1033" s="21">
        <v>3.44</v>
      </c>
      <c r="U1033" s="21">
        <v>1.44</v>
      </c>
      <c r="V1033" s="21">
        <v>2010</v>
      </c>
      <c r="W1033" s="21">
        <v>977.83400000000006</v>
      </c>
      <c r="X1033" s="32">
        <v>87.123400000000004</v>
      </c>
    </row>
    <row r="1034" spans="17:24" x14ac:dyDescent="0.25">
      <c r="Q1034" s="19" t="s">
        <v>265</v>
      </c>
      <c r="R1034" s="20">
        <v>45349</v>
      </c>
      <c r="S1034" s="44">
        <v>754.62400000000002</v>
      </c>
      <c r="T1034" s="21">
        <v>3.44</v>
      </c>
      <c r="U1034" s="21">
        <v>1.44</v>
      </c>
      <c r="V1034" s="21">
        <v>2060</v>
      </c>
      <c r="W1034" s="21">
        <v>982.37400000000002</v>
      </c>
      <c r="X1034" s="32">
        <v>88.123400000000004</v>
      </c>
    </row>
    <row r="1035" spans="17:24" x14ac:dyDescent="0.25">
      <c r="Q1035" s="19" t="s">
        <v>265</v>
      </c>
      <c r="R1035" s="20">
        <v>45349</v>
      </c>
      <c r="S1035" s="44">
        <v>754.62400000000002</v>
      </c>
      <c r="T1035" s="21">
        <v>3.44</v>
      </c>
      <c r="U1035" s="21">
        <v>1.44</v>
      </c>
      <c r="V1035" s="21">
        <v>2120</v>
      </c>
      <c r="W1035" s="21">
        <v>987.50400000000002</v>
      </c>
      <c r="X1035" s="32">
        <v>88.523400000000009</v>
      </c>
    </row>
    <row r="1036" spans="17:24" x14ac:dyDescent="0.25">
      <c r="Q1036" s="19" t="s">
        <v>265</v>
      </c>
      <c r="R1036" s="20">
        <v>45349</v>
      </c>
      <c r="S1036" s="44">
        <v>372.07900000000001</v>
      </c>
      <c r="T1036" s="21">
        <v>2.16</v>
      </c>
      <c r="U1036" s="21">
        <v>0.36</v>
      </c>
      <c r="V1036" s="21">
        <v>2120</v>
      </c>
      <c r="W1036" s="21">
        <v>1012.1840000000001</v>
      </c>
      <c r="X1036" s="32">
        <v>88.923400000000001</v>
      </c>
    </row>
    <row r="1037" spans="17:24" x14ac:dyDescent="0.25">
      <c r="Q1037" s="19" t="s">
        <v>265</v>
      </c>
      <c r="R1037" s="20">
        <v>45349</v>
      </c>
      <c r="S1037" s="44">
        <v>372.07900000000001</v>
      </c>
      <c r="T1037" s="21">
        <v>2.16</v>
      </c>
      <c r="U1037" s="21">
        <v>0.36</v>
      </c>
      <c r="V1037" s="21">
        <v>2060</v>
      </c>
      <c r="W1037" s="21">
        <v>1007.7140000000001</v>
      </c>
      <c r="X1037" s="32">
        <v>88.623400000000004</v>
      </c>
    </row>
    <row r="1038" spans="17:24" x14ac:dyDescent="0.25">
      <c r="Q1038" s="19" t="s">
        <v>265</v>
      </c>
      <c r="R1038" s="20">
        <v>45349</v>
      </c>
      <c r="S1038" s="44">
        <v>372.07900000000001</v>
      </c>
      <c r="T1038" s="21">
        <v>2.16</v>
      </c>
      <c r="U1038" s="21">
        <v>0.36</v>
      </c>
      <c r="V1038" s="21">
        <v>2010</v>
      </c>
      <c r="W1038" s="21">
        <v>1004.0940000000001</v>
      </c>
      <c r="X1038" s="32">
        <v>88.223399999999998</v>
      </c>
    </row>
    <row r="1039" spans="17:24" x14ac:dyDescent="0.25">
      <c r="Q1039" s="19" t="s">
        <v>265</v>
      </c>
      <c r="R1039" s="20">
        <v>45349</v>
      </c>
      <c r="S1039" s="44">
        <v>372.07900000000001</v>
      </c>
      <c r="T1039" s="21">
        <v>2.16</v>
      </c>
      <c r="U1039" s="21">
        <v>0.36</v>
      </c>
      <c r="V1039" s="21">
        <v>1000</v>
      </c>
      <c r="W1039" s="21">
        <v>911.31400000000008</v>
      </c>
      <c r="X1039" s="32">
        <v>79.323400000000007</v>
      </c>
    </row>
    <row r="1040" spans="17:24" ht="16.5" thickBot="1" x14ac:dyDescent="0.3">
      <c r="Q1040" s="19" t="s">
        <v>265</v>
      </c>
      <c r="R1040" s="20">
        <v>45349</v>
      </c>
      <c r="S1040" s="44">
        <v>372.07900000000001</v>
      </c>
      <c r="T1040" s="21">
        <v>2.16</v>
      </c>
      <c r="U1040" s="21">
        <v>0.36</v>
      </c>
      <c r="V1040" s="21">
        <v>0</v>
      </c>
      <c r="W1040" s="21">
        <v>817.30400000000009</v>
      </c>
      <c r="X1040" s="32">
        <v>50.223399999999998</v>
      </c>
    </row>
    <row r="1041" spans="17:24" x14ac:dyDescent="0.25">
      <c r="Q1041" s="14" t="s">
        <v>204</v>
      </c>
      <c r="R1041" s="15">
        <v>45330</v>
      </c>
      <c r="S1041" s="16">
        <v>555.03499999999997</v>
      </c>
      <c r="T1041" s="16">
        <v>2.16</v>
      </c>
      <c r="U1041" s="16">
        <v>0.88</v>
      </c>
      <c r="V1041" s="16">
        <v>0</v>
      </c>
      <c r="W1041" s="16">
        <v>606.75</v>
      </c>
      <c r="X1041" s="35">
        <v>14.7</v>
      </c>
    </row>
    <row r="1042" spans="17:24" x14ac:dyDescent="0.25">
      <c r="Q1042" s="19" t="s">
        <v>204</v>
      </c>
      <c r="R1042" s="20">
        <v>45330</v>
      </c>
      <c r="S1042" s="21">
        <v>555.03499999999997</v>
      </c>
      <c r="T1042" s="21">
        <v>2.16</v>
      </c>
      <c r="U1042" s="21">
        <v>0.88</v>
      </c>
      <c r="V1042" s="21">
        <v>2010</v>
      </c>
      <c r="W1042" s="21">
        <v>986.54</v>
      </c>
      <c r="X1042" s="32">
        <v>89.5</v>
      </c>
    </row>
    <row r="1043" spans="17:24" x14ac:dyDescent="0.25">
      <c r="Q1043" s="19" t="s">
        <v>204</v>
      </c>
      <c r="R1043" s="20">
        <v>45330</v>
      </c>
      <c r="S1043" s="21">
        <v>555.03499999999997</v>
      </c>
      <c r="T1043" s="21">
        <v>2.16</v>
      </c>
      <c r="U1043" s="21">
        <v>0.88</v>
      </c>
      <c r="V1043" s="21">
        <v>2060</v>
      </c>
      <c r="W1043" s="21">
        <v>990.67</v>
      </c>
      <c r="X1043" s="32">
        <v>90.2</v>
      </c>
    </row>
    <row r="1044" spans="17:24" x14ac:dyDescent="0.25">
      <c r="Q1044" s="19" t="s">
        <v>204</v>
      </c>
      <c r="R1044" s="20">
        <v>45330</v>
      </c>
      <c r="S1044" s="21">
        <v>555.03499999999997</v>
      </c>
      <c r="T1044" s="21">
        <v>2.16</v>
      </c>
      <c r="U1044" s="21">
        <v>0.88</v>
      </c>
      <c r="V1044" s="21">
        <v>2160</v>
      </c>
      <c r="W1044" s="21">
        <v>993.92</v>
      </c>
      <c r="X1044" s="32">
        <v>90.6</v>
      </c>
    </row>
    <row r="1045" spans="17:24" x14ac:dyDescent="0.25">
      <c r="Q1045" s="19" t="s">
        <v>204</v>
      </c>
      <c r="R1045" s="20">
        <v>45330</v>
      </c>
      <c r="S1045" s="21">
        <v>382.74200000000002</v>
      </c>
      <c r="T1045" s="21">
        <v>1.44</v>
      </c>
      <c r="U1045" s="21">
        <v>0.52</v>
      </c>
      <c r="V1045" s="21">
        <v>2160</v>
      </c>
      <c r="W1045" s="21">
        <v>1042.27</v>
      </c>
      <c r="X1045" s="32">
        <v>91.3</v>
      </c>
    </row>
    <row r="1046" spans="17:24" x14ac:dyDescent="0.25">
      <c r="Q1046" s="19" t="s">
        <v>204</v>
      </c>
      <c r="R1046" s="20">
        <v>45330</v>
      </c>
      <c r="S1046" s="21">
        <v>382.74200000000002</v>
      </c>
      <c r="T1046" s="21">
        <v>1.44</v>
      </c>
      <c r="U1046" s="21">
        <v>0.52</v>
      </c>
      <c r="V1046" s="21">
        <v>2060</v>
      </c>
      <c r="W1046" s="21">
        <v>1038.42</v>
      </c>
      <c r="X1046" s="32">
        <v>91.1</v>
      </c>
    </row>
    <row r="1047" spans="17:24" x14ac:dyDescent="0.25">
      <c r="Q1047" s="19" t="s">
        <v>204</v>
      </c>
      <c r="R1047" s="20">
        <v>45330</v>
      </c>
      <c r="S1047" s="21">
        <v>382.74200000000002</v>
      </c>
      <c r="T1047" s="21">
        <v>1.44</v>
      </c>
      <c r="U1047" s="21">
        <v>0.52</v>
      </c>
      <c r="V1047" s="21">
        <v>2010</v>
      </c>
      <c r="W1047" s="21">
        <v>1034.48</v>
      </c>
      <c r="X1047" s="32">
        <v>90.8</v>
      </c>
    </row>
    <row r="1048" spans="17:24" x14ac:dyDescent="0.25">
      <c r="Q1048" s="19" t="s">
        <v>204</v>
      </c>
      <c r="R1048" s="20">
        <v>45330</v>
      </c>
      <c r="S1048" s="21">
        <v>382.74200000000002</v>
      </c>
      <c r="T1048" s="21">
        <v>1.44</v>
      </c>
      <c r="U1048" s="21">
        <v>0.52</v>
      </c>
      <c r="V1048" s="21">
        <v>0</v>
      </c>
      <c r="W1048" s="21">
        <v>803.05</v>
      </c>
      <c r="X1048" s="32">
        <v>57.9</v>
      </c>
    </row>
    <row r="1049" spans="17:24" x14ac:dyDescent="0.25">
      <c r="Q1049" s="19" t="s">
        <v>204</v>
      </c>
      <c r="R1049" s="20">
        <v>45331</v>
      </c>
      <c r="S1049" s="21">
        <v>236.86199999999999</v>
      </c>
      <c r="T1049" s="21">
        <v>0.74</v>
      </c>
      <c r="U1049" s="21">
        <v>0</v>
      </c>
      <c r="V1049" s="21">
        <v>0</v>
      </c>
      <c r="W1049" s="21">
        <v>870.41</v>
      </c>
      <c r="X1049" s="32">
        <v>14</v>
      </c>
    </row>
    <row r="1050" spans="17:24" x14ac:dyDescent="0.25">
      <c r="Q1050" s="19" t="s">
        <v>204</v>
      </c>
      <c r="R1050" s="20">
        <v>45331</v>
      </c>
      <c r="S1050" s="21">
        <v>236.86199999999999</v>
      </c>
      <c r="T1050" s="21">
        <v>0.74</v>
      </c>
      <c r="U1050" s="21">
        <v>0</v>
      </c>
      <c r="V1050" s="21">
        <v>2010</v>
      </c>
      <c r="W1050" s="21">
        <v>1059.4100000000001</v>
      </c>
      <c r="X1050" s="32">
        <v>90.8</v>
      </c>
    </row>
    <row r="1051" spans="17:24" x14ac:dyDescent="0.25">
      <c r="Q1051" s="19" t="s">
        <v>204</v>
      </c>
      <c r="R1051" s="20">
        <v>45331</v>
      </c>
      <c r="S1051" s="21">
        <v>236.86199999999999</v>
      </c>
      <c r="T1051" s="21">
        <v>0.74</v>
      </c>
      <c r="U1051" s="21">
        <v>0</v>
      </c>
      <c r="V1051" s="21">
        <v>2060</v>
      </c>
      <c r="W1051" s="21">
        <v>1063.17</v>
      </c>
      <c r="X1051" s="32">
        <v>91.2</v>
      </c>
    </row>
    <row r="1052" spans="17:24" ht="16.5" thickBot="1" x14ac:dyDescent="0.3">
      <c r="Q1052" s="24" t="s">
        <v>204</v>
      </c>
      <c r="R1052" s="25">
        <v>45331</v>
      </c>
      <c r="S1052" s="26">
        <v>236.86199999999999</v>
      </c>
      <c r="T1052" s="26">
        <v>0.74</v>
      </c>
      <c r="U1052" s="26">
        <v>0</v>
      </c>
      <c r="V1052" s="26">
        <v>2160</v>
      </c>
      <c r="W1052" s="26">
        <v>1067.03</v>
      </c>
      <c r="X1052" s="33">
        <v>91.7</v>
      </c>
    </row>
    <row r="1053" spans="17:24" x14ac:dyDescent="0.25">
      <c r="Q1053" s="14" t="s">
        <v>202</v>
      </c>
      <c r="R1053" s="15">
        <v>45463</v>
      </c>
      <c r="S1053" s="43">
        <v>629.69294860000002</v>
      </c>
      <c r="T1053" s="16">
        <v>3.0335999999999994</v>
      </c>
      <c r="U1053" s="16">
        <v>0.67199999999999993</v>
      </c>
      <c r="V1053" s="16">
        <v>0</v>
      </c>
      <c r="W1053" s="16">
        <v>481.70699999999999</v>
      </c>
      <c r="X1053" s="35">
        <v>36.893000000000001</v>
      </c>
    </row>
    <row r="1054" spans="17:24" x14ac:dyDescent="0.25">
      <c r="Q1054" s="19" t="s">
        <v>202</v>
      </c>
      <c r="R1054" s="20">
        <v>45463</v>
      </c>
      <c r="S1054" s="44">
        <v>629.69294860000002</v>
      </c>
      <c r="T1054" s="21">
        <v>3.0335999999999994</v>
      </c>
      <c r="U1054" s="21">
        <v>0.67199999999999993</v>
      </c>
      <c r="V1054" s="21">
        <v>500</v>
      </c>
      <c r="W1054" s="21">
        <v>604.29399999999998</v>
      </c>
      <c r="X1054" s="32">
        <v>68.688999999999993</v>
      </c>
    </row>
    <row r="1055" spans="17:24" x14ac:dyDescent="0.25">
      <c r="Q1055" s="19" t="s">
        <v>202</v>
      </c>
      <c r="R1055" s="20">
        <v>45463</v>
      </c>
      <c r="S1055" s="44">
        <v>629.69294860000002</v>
      </c>
      <c r="T1055" s="21">
        <v>3.0335999999999994</v>
      </c>
      <c r="U1055" s="21">
        <v>0.67199999999999993</v>
      </c>
      <c r="V1055" s="21">
        <v>1000</v>
      </c>
      <c r="W1055" s="21">
        <v>746.91399999999999</v>
      </c>
      <c r="X1055" s="32">
        <v>75.965000000000003</v>
      </c>
    </row>
    <row r="1056" spans="17:24" x14ac:dyDescent="0.25">
      <c r="Q1056" s="19" t="s">
        <v>202</v>
      </c>
      <c r="R1056" s="20">
        <v>45463</v>
      </c>
      <c r="S1056" s="44">
        <v>629.69294860000002</v>
      </c>
      <c r="T1056" s="21">
        <v>3.0335999999999994</v>
      </c>
      <c r="U1056" s="21">
        <v>0.67199999999999993</v>
      </c>
      <c r="V1056" s="21">
        <v>1500</v>
      </c>
      <c r="W1056" s="21">
        <v>835.30399999999997</v>
      </c>
      <c r="X1056" s="32">
        <v>81.751999999999995</v>
      </c>
    </row>
    <row r="1057" spans="17:24" x14ac:dyDescent="0.25">
      <c r="Q1057" s="19" t="s">
        <v>202</v>
      </c>
      <c r="R1057" s="20">
        <v>45463</v>
      </c>
      <c r="S1057" s="44">
        <v>629.69294860000002</v>
      </c>
      <c r="T1057" s="21">
        <v>3.0335999999999994</v>
      </c>
      <c r="U1057" s="21">
        <v>0.67199999999999993</v>
      </c>
      <c r="V1057" s="21">
        <v>2055</v>
      </c>
      <c r="W1057" s="21">
        <v>914.005</v>
      </c>
      <c r="X1057" s="32">
        <v>86.153000000000006</v>
      </c>
    </row>
    <row r="1058" spans="17:24" ht="16.5" thickBot="1" x14ac:dyDescent="0.3">
      <c r="Q1058" s="24" t="s">
        <v>202</v>
      </c>
      <c r="R1058" s="25">
        <v>45463</v>
      </c>
      <c r="S1058" s="45">
        <v>629.69294860000002</v>
      </c>
      <c r="T1058" s="26">
        <v>3.0335999999999994</v>
      </c>
      <c r="U1058" s="26">
        <v>0.67199999999999993</v>
      </c>
      <c r="V1058" s="26">
        <v>2105</v>
      </c>
      <c r="W1058" s="26">
        <v>918.32500000000005</v>
      </c>
      <c r="X1058" s="33">
        <v>86.727999999999994</v>
      </c>
    </row>
    <row r="1059" spans="17:24" x14ac:dyDescent="0.25">
      <c r="Q1059" s="14" t="s">
        <v>211</v>
      </c>
      <c r="R1059" s="15">
        <v>45466</v>
      </c>
      <c r="S1059" s="43">
        <v>625.70519860000002</v>
      </c>
      <c r="T1059" s="16">
        <v>4.8384</v>
      </c>
      <c r="U1059" s="16">
        <v>0.62399999999999989</v>
      </c>
      <c r="V1059" s="16">
        <v>0</v>
      </c>
      <c r="W1059" s="16">
        <v>682.29499999999996</v>
      </c>
      <c r="X1059" s="35">
        <v>37.052999999999997</v>
      </c>
    </row>
    <row r="1060" spans="17:24" x14ac:dyDescent="0.25">
      <c r="Q1060" s="19" t="s">
        <v>211</v>
      </c>
      <c r="R1060" s="20">
        <v>45466</v>
      </c>
      <c r="S1060" s="44">
        <v>625.70519860000002</v>
      </c>
      <c r="T1060" s="21">
        <v>4.8384</v>
      </c>
      <c r="U1060" s="21">
        <v>0.62399999999999989</v>
      </c>
      <c r="V1060" s="21">
        <v>500</v>
      </c>
      <c r="W1060" s="21">
        <v>773.30700000000002</v>
      </c>
      <c r="X1060" s="32">
        <v>57.704999999999998</v>
      </c>
    </row>
    <row r="1061" spans="17:24" x14ac:dyDescent="0.25">
      <c r="Q1061" s="19" t="s">
        <v>211</v>
      </c>
      <c r="R1061" s="20">
        <v>45466</v>
      </c>
      <c r="S1061" s="44">
        <v>625.70519860000002</v>
      </c>
      <c r="T1061" s="21">
        <v>4.8384</v>
      </c>
      <c r="U1061" s="21">
        <v>0.62399999999999989</v>
      </c>
      <c r="V1061" s="21">
        <v>1000</v>
      </c>
      <c r="W1061" s="21">
        <v>855.87800000000004</v>
      </c>
      <c r="X1061" s="32">
        <v>68.912999999999997</v>
      </c>
    </row>
    <row r="1062" spans="17:24" x14ac:dyDescent="0.25">
      <c r="Q1062" s="19" t="s">
        <v>211</v>
      </c>
      <c r="R1062" s="20">
        <v>45466</v>
      </c>
      <c r="S1062" s="44">
        <v>625.70519860000002</v>
      </c>
      <c r="T1062" s="21">
        <v>4.8384</v>
      </c>
      <c r="U1062" s="21">
        <v>0.62399999999999989</v>
      </c>
      <c r="V1062" s="21">
        <v>1500</v>
      </c>
      <c r="W1062" s="21">
        <v>932.36</v>
      </c>
      <c r="X1062" s="32">
        <v>75.647000000000006</v>
      </c>
    </row>
    <row r="1063" spans="17:24" x14ac:dyDescent="0.25">
      <c r="Q1063" s="19" t="s">
        <v>211</v>
      </c>
      <c r="R1063" s="20">
        <v>45466</v>
      </c>
      <c r="S1063" s="44">
        <v>625.70519860000002</v>
      </c>
      <c r="T1063" s="21">
        <v>4.8384</v>
      </c>
      <c r="U1063" s="21">
        <v>0.62399999999999989</v>
      </c>
      <c r="V1063" s="21">
        <v>2145</v>
      </c>
      <c r="W1063" s="21">
        <v>1017.549</v>
      </c>
      <c r="X1063" s="32">
        <v>81.325000000000003</v>
      </c>
    </row>
    <row r="1064" spans="17:24" ht="16.5" thickBot="1" x14ac:dyDescent="0.3">
      <c r="Q1064" s="19" t="s">
        <v>211</v>
      </c>
      <c r="R1064" s="20">
        <v>45466</v>
      </c>
      <c r="S1064" s="44">
        <v>625.70519860000002</v>
      </c>
      <c r="T1064" s="21">
        <v>4.8384</v>
      </c>
      <c r="U1064" s="21">
        <v>0.62399999999999989</v>
      </c>
      <c r="V1064" s="21">
        <v>2195</v>
      </c>
      <c r="W1064" s="21">
        <v>1021.147</v>
      </c>
      <c r="X1064" s="32">
        <v>84.88</v>
      </c>
    </row>
    <row r="1065" spans="17:24" x14ac:dyDescent="0.25">
      <c r="Q1065" s="14" t="s">
        <v>179</v>
      </c>
      <c r="R1065" s="15">
        <v>45480</v>
      </c>
      <c r="S1065" s="43">
        <v>736.50643320000006</v>
      </c>
      <c r="T1065" s="16">
        <v>1.9679999999999995</v>
      </c>
      <c r="U1065" s="16">
        <v>0.76799999999999979</v>
      </c>
      <c r="V1065" s="16">
        <v>0</v>
      </c>
      <c r="W1065" s="16">
        <v>724.76499999999999</v>
      </c>
      <c r="X1065" s="35">
        <v>39.28</v>
      </c>
    </row>
    <row r="1066" spans="17:24" x14ac:dyDescent="0.25">
      <c r="Q1066" s="19" t="s">
        <v>179</v>
      </c>
      <c r="R1066" s="20">
        <v>45480</v>
      </c>
      <c r="S1066" s="44">
        <v>736.50643320000006</v>
      </c>
      <c r="T1066" s="21">
        <v>1.9679999999999995</v>
      </c>
      <c r="U1066" s="21">
        <v>0.76799999999999979</v>
      </c>
      <c r="V1066" s="21">
        <v>500</v>
      </c>
      <c r="W1066" s="21">
        <v>818.90899999999999</v>
      </c>
      <c r="X1066" s="32">
        <v>58.143999999999998</v>
      </c>
    </row>
    <row r="1067" spans="17:24" x14ac:dyDescent="0.25">
      <c r="Q1067" s="19" t="s">
        <v>179</v>
      </c>
      <c r="R1067" s="20">
        <v>45480</v>
      </c>
      <c r="S1067" s="44">
        <v>736.50643320000006</v>
      </c>
      <c r="T1067" s="21">
        <v>1.9679999999999995</v>
      </c>
      <c r="U1067" s="21">
        <v>0.76799999999999979</v>
      </c>
      <c r="V1067" s="21">
        <v>1000</v>
      </c>
      <c r="W1067" s="21">
        <v>911.14800000000002</v>
      </c>
      <c r="X1067" s="32">
        <v>70.611999999999995</v>
      </c>
    </row>
    <row r="1068" spans="17:24" x14ac:dyDescent="0.25">
      <c r="Q1068" s="19" t="s">
        <v>179</v>
      </c>
      <c r="R1068" s="20">
        <v>45480</v>
      </c>
      <c r="S1068" s="44">
        <v>736.50643320000006</v>
      </c>
      <c r="T1068" s="21">
        <v>1.9679999999999995</v>
      </c>
      <c r="U1068" s="21">
        <v>0.76799999999999979</v>
      </c>
      <c r="V1068" s="21">
        <v>1500</v>
      </c>
      <c r="W1068" s="21">
        <v>998.10599999999999</v>
      </c>
      <c r="X1068" s="32">
        <v>78.813999999999993</v>
      </c>
    </row>
    <row r="1069" spans="17:24" x14ac:dyDescent="0.25">
      <c r="Q1069" s="19" t="s">
        <v>179</v>
      </c>
      <c r="R1069" s="20">
        <v>45480</v>
      </c>
      <c r="S1069" s="44">
        <v>736.50643320000006</v>
      </c>
      <c r="T1069" s="21">
        <v>1.9679999999999995</v>
      </c>
      <c r="U1069" s="21">
        <v>0.76799999999999979</v>
      </c>
      <c r="V1069" s="21">
        <v>2015</v>
      </c>
      <c r="W1069" s="21">
        <v>1076.4929999999999</v>
      </c>
      <c r="X1069" s="32">
        <v>84.700999999999993</v>
      </c>
    </row>
    <row r="1070" spans="17:24" x14ac:dyDescent="0.25">
      <c r="Q1070" s="19" t="s">
        <v>179</v>
      </c>
      <c r="R1070" s="20">
        <v>45480</v>
      </c>
      <c r="S1070" s="44">
        <v>736.50643320000006</v>
      </c>
      <c r="T1070" s="21">
        <v>1.9679999999999995</v>
      </c>
      <c r="U1070" s="21">
        <v>0.76799999999999979</v>
      </c>
      <c r="V1070" s="21">
        <v>2065</v>
      </c>
      <c r="W1070" s="21">
        <v>1081.376</v>
      </c>
      <c r="X1070" s="32">
        <v>87.078999999999994</v>
      </c>
    </row>
    <row r="1071" spans="17:24" ht="16.5" thickBot="1" x14ac:dyDescent="0.3">
      <c r="Q1071" s="24" t="s">
        <v>179</v>
      </c>
      <c r="R1071" s="25">
        <v>45480</v>
      </c>
      <c r="S1071" s="45">
        <v>736.50643320000006</v>
      </c>
      <c r="T1071" s="26">
        <v>1.9679999999999995</v>
      </c>
      <c r="U1071" s="26">
        <v>0.76799999999999979</v>
      </c>
      <c r="V1071" s="26">
        <v>2115</v>
      </c>
      <c r="W1071" s="26">
        <v>1087.4490000000001</v>
      </c>
      <c r="X1071" s="33">
        <v>89.959000000000003</v>
      </c>
    </row>
    <row r="1072" spans="17:24" x14ac:dyDescent="0.25">
      <c r="Q1072" s="14" t="s">
        <v>356</v>
      </c>
      <c r="R1072" s="15">
        <v>45564</v>
      </c>
      <c r="S1072" s="43">
        <v>109.892</v>
      </c>
      <c r="T1072" s="16">
        <v>0</v>
      </c>
      <c r="U1072" s="16">
        <v>0.4</v>
      </c>
      <c r="V1072" s="16">
        <v>0</v>
      </c>
      <c r="W1072" s="16">
        <v>662.44600000000003</v>
      </c>
      <c r="X1072" s="35">
        <v>28.699000000000002</v>
      </c>
    </row>
    <row r="1073" spans="17:24" x14ac:dyDescent="0.25">
      <c r="Q1073" s="19" t="s">
        <v>356</v>
      </c>
      <c r="R1073" s="20">
        <v>45564</v>
      </c>
      <c r="S1073" s="44">
        <v>109.892</v>
      </c>
      <c r="T1073" s="21">
        <v>0</v>
      </c>
      <c r="U1073" s="21">
        <v>0.4</v>
      </c>
      <c r="V1073" s="21">
        <v>500</v>
      </c>
      <c r="W1073" s="21">
        <v>694.875</v>
      </c>
      <c r="X1073" s="32">
        <v>51.606000000000002</v>
      </c>
    </row>
    <row r="1074" spans="17:24" x14ac:dyDescent="0.25">
      <c r="Q1074" s="19" t="s">
        <v>356</v>
      </c>
      <c r="R1074" s="20">
        <v>45564</v>
      </c>
      <c r="S1074" s="44">
        <v>109.892</v>
      </c>
      <c r="T1074" s="21">
        <v>0</v>
      </c>
      <c r="U1074" s="21">
        <v>0.4</v>
      </c>
      <c r="V1074" s="21">
        <v>1000</v>
      </c>
      <c r="W1074" s="21">
        <v>729.33600000000001</v>
      </c>
      <c r="X1074" s="32">
        <v>66.28</v>
      </c>
    </row>
    <row r="1075" spans="17:24" x14ac:dyDescent="0.25">
      <c r="Q1075" s="19" t="s">
        <v>356</v>
      </c>
      <c r="R1075" s="20">
        <v>45564</v>
      </c>
      <c r="S1075" s="44">
        <v>109.892</v>
      </c>
      <c r="T1075" s="21">
        <v>0</v>
      </c>
      <c r="U1075" s="21">
        <v>0.4</v>
      </c>
      <c r="V1075" s="21">
        <v>1500</v>
      </c>
      <c r="W1075" s="21">
        <v>762.19</v>
      </c>
      <c r="X1075" s="32">
        <v>74.48</v>
      </c>
    </row>
    <row r="1076" spans="17:24" x14ac:dyDescent="0.25">
      <c r="Q1076" s="19" t="s">
        <v>356</v>
      </c>
      <c r="R1076" s="20">
        <v>45564</v>
      </c>
      <c r="S1076" s="44">
        <v>109.892</v>
      </c>
      <c r="T1076" s="21">
        <v>0</v>
      </c>
      <c r="U1076" s="21">
        <v>0.4</v>
      </c>
      <c r="V1076" s="21">
        <v>2000</v>
      </c>
      <c r="W1076" s="21">
        <v>792.79200000000003</v>
      </c>
      <c r="X1076" s="32">
        <v>80.682000000000002</v>
      </c>
    </row>
    <row r="1077" spans="17:24" x14ac:dyDescent="0.25">
      <c r="Q1077" s="19" t="s">
        <v>356</v>
      </c>
      <c r="R1077" s="20">
        <v>45564</v>
      </c>
      <c r="S1077" s="44">
        <v>109.892</v>
      </c>
      <c r="T1077" s="21">
        <v>0</v>
      </c>
      <c r="U1077" s="21">
        <v>0.4</v>
      </c>
      <c r="V1077" s="21">
        <v>2050</v>
      </c>
      <c r="W1077" s="21">
        <v>795.89300000000003</v>
      </c>
      <c r="X1077" s="32">
        <v>83.626999999999995</v>
      </c>
    </row>
    <row r="1078" spans="17:24" x14ac:dyDescent="0.25">
      <c r="Q1078" s="19" t="s">
        <v>356</v>
      </c>
      <c r="R1078" s="20">
        <v>45564</v>
      </c>
      <c r="S1078" s="21">
        <v>109.892</v>
      </c>
      <c r="T1078" s="21">
        <v>0</v>
      </c>
      <c r="U1078" s="21">
        <v>0.4</v>
      </c>
      <c r="V1078" s="21">
        <v>2075</v>
      </c>
      <c r="W1078" s="21">
        <v>797.84</v>
      </c>
      <c r="X1078" s="32">
        <v>85.444999999999993</v>
      </c>
    </row>
    <row r="1079" spans="17:24" x14ac:dyDescent="0.25">
      <c r="Q1079" s="19" t="s">
        <v>356</v>
      </c>
      <c r="R1079" s="20">
        <v>45564</v>
      </c>
      <c r="S1079" s="21">
        <v>177.245</v>
      </c>
      <c r="T1079" s="21">
        <v>1.36</v>
      </c>
      <c r="U1079" s="21">
        <v>2</v>
      </c>
      <c r="V1079" s="21">
        <v>2075</v>
      </c>
      <c r="W1079" s="21">
        <v>622.49099999999999</v>
      </c>
      <c r="X1079" s="32">
        <v>82.825999999999993</v>
      </c>
    </row>
    <row r="1080" spans="17:24" x14ac:dyDescent="0.25">
      <c r="Q1080" s="19" t="s">
        <v>356</v>
      </c>
      <c r="R1080" s="20">
        <v>45564</v>
      </c>
      <c r="S1080" s="21">
        <v>177.245</v>
      </c>
      <c r="T1080" s="21">
        <v>1.36</v>
      </c>
      <c r="U1080" s="21">
        <v>2</v>
      </c>
      <c r="V1080" s="21">
        <v>2050</v>
      </c>
      <c r="W1080" s="21">
        <v>617.75</v>
      </c>
      <c r="X1080" s="32">
        <v>82.695999999999998</v>
      </c>
    </row>
    <row r="1081" spans="17:24" x14ac:dyDescent="0.25">
      <c r="Q1081" s="19" t="s">
        <v>356</v>
      </c>
      <c r="R1081" s="20">
        <v>45564</v>
      </c>
      <c r="S1081" s="21">
        <v>177.245</v>
      </c>
      <c r="T1081" s="21">
        <v>1.36</v>
      </c>
      <c r="U1081" s="21">
        <v>2</v>
      </c>
      <c r="V1081" s="21">
        <v>2000</v>
      </c>
      <c r="W1081" s="21">
        <v>613.49900000000002</v>
      </c>
      <c r="X1081" s="32">
        <v>82.546000000000006</v>
      </c>
    </row>
    <row r="1082" spans="17:24" x14ac:dyDescent="0.25">
      <c r="Q1082" s="19" t="s">
        <v>356</v>
      </c>
      <c r="R1082" s="20">
        <v>45564</v>
      </c>
      <c r="S1082" s="21">
        <v>177.245</v>
      </c>
      <c r="T1082" s="21">
        <v>1.36</v>
      </c>
      <c r="U1082" s="21">
        <v>2</v>
      </c>
      <c r="V1082" s="21">
        <v>1500</v>
      </c>
      <c r="W1082" s="21">
        <v>578.31500000000005</v>
      </c>
      <c r="X1082" s="32">
        <v>81.700999999999993</v>
      </c>
    </row>
    <row r="1083" spans="17:24" x14ac:dyDescent="0.25">
      <c r="Q1083" s="19" t="s">
        <v>356</v>
      </c>
      <c r="R1083" s="20">
        <v>45564</v>
      </c>
      <c r="S1083" s="21">
        <v>177.245</v>
      </c>
      <c r="T1083" s="21">
        <v>1.36</v>
      </c>
      <c r="U1083" s="21">
        <v>2</v>
      </c>
      <c r="V1083" s="21">
        <v>1000</v>
      </c>
      <c r="W1083" s="21">
        <v>544.74300000000005</v>
      </c>
      <c r="X1083" s="32">
        <v>78.813999999999993</v>
      </c>
    </row>
    <row r="1084" spans="17:24" x14ac:dyDescent="0.25">
      <c r="Q1084" s="19" t="s">
        <v>356</v>
      </c>
      <c r="R1084" s="20">
        <v>45564</v>
      </c>
      <c r="S1084" s="21">
        <v>177.245</v>
      </c>
      <c r="T1084" s="21">
        <v>1.36</v>
      </c>
      <c r="U1084" s="21">
        <v>2</v>
      </c>
      <c r="V1084" s="21">
        <v>500</v>
      </c>
      <c r="W1084" s="21">
        <v>510.90300000000002</v>
      </c>
      <c r="X1084" s="32">
        <v>73.8</v>
      </c>
    </row>
    <row r="1085" spans="17:24" ht="16.5" thickBot="1" x14ac:dyDescent="0.3">
      <c r="Q1085" s="24" t="s">
        <v>356</v>
      </c>
      <c r="R1085" s="25">
        <v>45564</v>
      </c>
      <c r="S1085" s="26">
        <v>177.245</v>
      </c>
      <c r="T1085" s="26">
        <v>1.36</v>
      </c>
      <c r="U1085" s="26">
        <v>2</v>
      </c>
      <c r="V1085" s="26">
        <v>0</v>
      </c>
      <c r="W1085" s="26">
        <v>478.24599999999998</v>
      </c>
      <c r="X1085" s="33">
        <v>60.585000000000001</v>
      </c>
    </row>
    <row r="1100" spans="27:28" x14ac:dyDescent="0.25">
      <c r="AA1100" s="51"/>
      <c r="AB1100" s="52"/>
    </row>
    <row r="1101" spans="27:28" x14ac:dyDescent="0.25">
      <c r="AA1101" s="51"/>
      <c r="AB1101" s="52"/>
    </row>
    <row r="1102" spans="27:28" x14ac:dyDescent="0.25">
      <c r="AA1102" s="51"/>
      <c r="AB1102" s="52"/>
    </row>
  </sheetData>
  <autoFilter ref="Q2:X1071" xr:uid="{48128D21-7261-4D06-8BA5-49802DF0DC07}"/>
  <mergeCells count="3">
    <mergeCell ref="A1:F1"/>
    <mergeCell ref="H1:O1"/>
    <mergeCell ref="Q1:X1"/>
  </mergeCells>
  <phoneticPr fontId="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Puits</vt:lpstr>
      <vt:lpstr>Test_SCADA (C&amp;n)</vt:lpstr>
      <vt:lpstr>Test_Séparateur (C&amp;n)</vt:lpstr>
      <vt:lpstr>FGS</vt:lpstr>
    </vt:vector>
  </TitlesOfParts>
  <Company>Sonatrach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RACHIDA HABIBI</dc:creator>
  <cp:lastModifiedBy>CHEMALI BADREDDINE</cp:lastModifiedBy>
  <dcterms:created xsi:type="dcterms:W3CDTF">2024-02-13T16:16:12Z</dcterms:created>
  <dcterms:modified xsi:type="dcterms:W3CDTF">2026-09-17T09:32:10Z</dcterms:modified>
</cp:coreProperties>
</file>